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vy/Documents/Codex/2026-10-19/referenced-chatgpt-conversation-this-is-an-2/outputs/把工厂变绿_本地原型/"/>
    </mc:Choice>
  </mc:AlternateContent>
  <xr:revisionPtr revIDLastSave="0" documentId="13_ncr:1_{F99D6661-1001-C54C-945C-EEA00F5E6A7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待确认项" sheetId="1" r:id="rId1"/>
    <sheet name="项目卡对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D5" i="1"/>
  <c r="B5" i="1"/>
</calcChain>
</file>

<file path=xl/sharedStrings.xml><?xml version="1.0" encoding="utf-8"?>
<sst xmlns="http://schemas.openxmlformats.org/spreadsheetml/2006/main" count="396" uniqueCount="270">
  <si>
    <t>《把工厂变绿》数值确认表</t>
  </si>
  <si>
    <t>填写方法：只需在黄色的“用户确认值”列填写。HTML 已确定项用于核对，不必重复填写；你回传此表后，我会统一回填到本地原型。</t>
  </si>
  <si>
    <t>仍待确认</t>
  </si>
  <si>
    <t>已填写</t>
  </si>
  <si>
    <t>当前缺失卡牌</t>
  </si>
  <si>
    <t>编号</t>
  </si>
  <si>
    <t>模块</t>
  </si>
  <si>
    <t>数值/规则</t>
  </si>
  <si>
    <t>来源状态</t>
  </si>
  <si>
    <t>HTML 依据或当前状态</t>
  </si>
  <si>
    <t>GitHub 辅助值</t>
  </si>
  <si>
    <t>建议处理</t>
  </si>
  <si>
    <t>用户确认值</t>
  </si>
  <si>
    <t>填写格式</t>
  </si>
  <si>
    <t>说明</t>
  </si>
  <si>
    <t>回填状态</t>
  </si>
  <si>
    <t>G01</t>
  </si>
  <si>
    <t>绿色评分</t>
  </si>
  <si>
    <t>顶部显示口径</t>
  </si>
  <si>
    <t>HTML已确定</t>
  </si>
  <si>
    <t>未申报显示 scoreRaw；完成“启动绿色工厂申报”后显示 finalScore</t>
  </si>
  <si>
    <t>—</t>
  </si>
  <si>
    <t>直接采用 HTML</t>
  </si>
  <si>
    <t>分数</t>
  </si>
  <si>
    <t>已接入当前原型</t>
  </si>
  <si>
    <t>G02</t>
  </si>
  <si>
    <t>认定分数线</t>
  </si>
  <si>
    <t>市级 60；省级 72；国家级 84</t>
  </si>
  <si>
    <t>已接入评分弹窗</t>
  </si>
  <si>
    <t>G03</t>
  </si>
  <si>
    <t>行业/赛道初始值</t>
  </si>
  <si>
    <t>需确认</t>
  </si>
  <si>
    <t>原 HTML newState 默认 sector='key'；当前评分按该默认经营基线</t>
  </si>
  <si>
    <t>保留 key 默认</t>
  </si>
  <si>
    <t>key / dom / exp</t>
  </si>
  <si>
    <t>若以后开放行业选择，需同步经营需求基线</t>
  </si>
  <si>
    <t>P01</t>
  </si>
  <si>
    <t>项目安排</t>
  </si>
  <si>
    <t>slot 2 的月度映射</t>
  </si>
  <si>
    <t>用户已确认</t>
  </si>
  <si>
    <t>一个项目可拆到两个不同月份；做完后永久完成</t>
  </si>
  <si>
    <t>保持当前规则</t>
  </si>
  <si>
    <t>规则</t>
  </si>
  <si>
    <t>当前原型已实现</t>
  </si>
  <si>
    <t>P02</t>
  </si>
  <si>
    <t>可重复项目上限</t>
  </si>
  <si>
    <t>原 HTML：扩建产线 max 2；招聘 max 2；屋顶光伏 max 3</t>
  </si>
  <si>
    <t>沿用 HTML 上限</t>
  </si>
  <si>
    <t>次数或规则</t>
  </si>
  <si>
    <t>当前原型暂按一次性，确认后需改</t>
  </si>
  <si>
    <t>P03</t>
  </si>
  <si>
    <t>项目成本扣款时点</t>
  </si>
  <si>
    <t>原 HTML 在开工时一次性扣除；两 slot 项目不分两次扣</t>
  </si>
  <si>
    <t>沿用 HTML</t>
  </si>
  <si>
    <t>开工 / 完工 / 分期</t>
  </si>
  <si>
    <t>已接入。项目首次开工时一次性扣除现金；两 slot 项目不重复扣款</t>
  </si>
  <si>
    <t>P04</t>
  </si>
  <si>
    <t>slot 0 在季度日历中的占用</t>
  </si>
  <si>
    <t>原 HTML 不占年度开工名额；当前原型仍需放进一个月份才能形成日志</t>
  </si>
  <si>
    <t>保留“放入月份但不占名额”</t>
  </si>
  <si>
    <t>决定季度计划校验</t>
  </si>
  <si>
    <t>P05</t>
  </si>
  <si>
    <t>项目库</t>
  </si>
  <si>
    <t>缺失的 11 张原 HTML 卡牌</t>
  </si>
  <si>
    <t>ISO 9001、ISO 14001、ISO 50001、绿色信贷、截图、绿电扩容、绿证、产品能效、立体仓储、疏通评审、零碳认证</t>
  </si>
  <si>
    <t>除“疏通评审”外先全部补入</t>
  </si>
  <si>
    <t>全部 / 指定卡牌</t>
  </si>
  <si>
    <t>可在“项目卡对照”筛选缺失项</t>
  </si>
  <si>
    <t>E01</t>
  </si>
  <si>
    <t>经营结算</t>
  </si>
  <si>
    <t>年度经营模型如何季度化</t>
  </si>
  <si>
    <t>原 HTML 按年计算完整损益；当前原型沿用同一公式，并按 1/12 转为月度经营现金流</t>
  </si>
  <si>
    <t>采用 HTML pl() / endYear() 口径</t>
  </si>
  <si>
    <t>年度营收、成本、税、净利润及集团上缴按 1/12 月度化</t>
  </si>
  <si>
    <t>已接入。摸鱼月份项目支出为 0，但经营现金流照常结算</t>
  </si>
  <si>
    <t>E02</t>
  </si>
  <si>
    <t>预算与现金约束何时生效</t>
  </si>
  <si>
    <t>原 HTML 开工即检查现金和年度技改预算</t>
  </si>
  <si>
    <t>排计划时预检，季度推进时正式扣款</t>
  </si>
  <si>
    <t>避免安排后无法执行</t>
  </si>
  <si>
    <t>E03</t>
  </si>
  <si>
    <t>跨年时点</t>
  </si>
  <si>
    <t>原 HTML 每一回合就是一年；当前原型按季度推进、逐月写日志</t>
  </si>
  <si>
    <t>12 月推进后执行一次原年度结算</t>
  </si>
  <si>
    <t>月份</t>
  </si>
  <si>
    <t>与 E01 配套</t>
  </si>
  <si>
    <t>R01</t>
  </si>
  <si>
    <t>随机事件</t>
  </si>
  <si>
    <t>年度权重转月度/季度概率</t>
  </si>
  <si>
    <t>原 HTML 事件按年度触发条件与权重；没有月度概率</t>
  </si>
  <si>
    <t>只在季度末抽取一次，并校准为年度等效概率</t>
  </si>
  <si>
    <t>概率或规则</t>
  </si>
  <si>
    <t>确认前日志显示“暂不结算”</t>
  </si>
  <si>
    <t>S01</t>
  </si>
  <si>
    <t>厂长压力</t>
  </si>
  <si>
    <t>初始值</t>
  </si>
  <si>
    <t>缺少来源</t>
  </si>
  <si>
    <t>原 HTML 没有压力指标</t>
  </si>
  <si>
    <t>待你填写</t>
  </si>
  <si>
    <t>0–100</t>
  </si>
  <si>
    <t>顶部当前显示待定</t>
  </si>
  <si>
    <t>S02</t>
  </si>
  <si>
    <t>各行动与事件的压力变化</t>
  </si>
  <si>
    <t>原 HTML 没有压力增减表</t>
  </si>
  <si>
    <t>按行动逐项填写或另附表</t>
  </si>
  <si>
    <t>数值/次</t>
  </si>
  <si>
    <t>可先只定闲聊、会议、散步、项目延期四类</t>
  </si>
  <si>
    <t>C01</t>
  </si>
  <si>
    <t>人物关系</t>
  </si>
  <si>
    <t>闲聊好感增量</t>
  </si>
  <si>
    <t>原 HTML 没有人物系统</t>
  </si>
  <si>
    <t>人物关系只解锁 CG，不影响经营</t>
  </si>
  <si>
    <t>C02</t>
  </si>
  <si>
    <t>CG 解锁阈值</t>
  </si>
  <si>
    <t>原 HTML 没有 CG 阈值</t>
  </si>
  <si>
    <t>阈值列表</t>
  </si>
  <si>
    <t>建议每个角色单独确认</t>
  </si>
  <si>
    <t>A01</t>
  </si>
  <si>
    <t>自由行动</t>
  </si>
  <si>
    <t>可用次数与重置周期</t>
  </si>
  <si>
    <t>当前演示为 2 次，并在每次季度推进后重置；该数字不来自原 HTML</t>
  </si>
  <si>
    <t>建议每月 2 次，逐月结算时重置</t>
  </si>
  <si>
    <t>次数 + 周期</t>
  </si>
  <si>
    <t>需要与季度推进流程一起改</t>
  </si>
  <si>
    <t>T01</t>
  </si>
  <si>
    <t>时间</t>
  </si>
  <si>
    <t>开局年月</t>
  </si>
  <si>
    <t>原 HTML 从 2026 年开始；当前界面写第 1 年 3 月</t>
  </si>
  <si>
    <t>显示 2026 年 3 月，并保留“第 1 年”辅助标识</t>
  </si>
  <si>
    <t>年月</t>
  </si>
  <si>
    <t>决定顶部日期显示</t>
  </si>
  <si>
    <t>N01</t>
  </si>
  <si>
    <t>日常安排</t>
  </si>
  <si>
    <t>摸鱼 / 空过</t>
  </si>
  <si>
    <t>原 HTML 没有月度摸鱼卡；用户确认可每月空过，项目支出为 0，正常经营现金流照常发生</t>
  </si>
  <si>
    <t>按本轮确认执行</t>
  </si>
  <si>
    <t>已接入季度拖拽与月度日志</t>
  </si>
  <si>
    <t>原 HTML 项目卡对照</t>
  </si>
  <si>
    <t>主依据：用户提供的游戏 HTML。GitHub 数字仅在 HTML 缺项时辅助，目前未使用 GitHub 数字。</t>
  </si>
  <si>
    <t>ID</t>
  </si>
  <si>
    <t>分组</t>
  </si>
  <si>
    <t>项目名称</t>
  </si>
  <si>
    <t>成本（万元）</t>
  </si>
  <si>
    <t>slot</t>
  </si>
  <si>
    <t>max</t>
  </si>
  <si>
    <t>前置</t>
  </si>
  <si>
    <t>HTML 效果摘要</t>
  </si>
  <si>
    <t>当前原型状态</t>
  </si>
  <si>
    <t>line2</t>
  </si>
  <si>
    <t>经营与产能</t>
  </si>
  <si>
    <t>扩建一条产线</t>
  </si>
  <si>
    <t>产能 +40 万件/年；施工当年产量损失约 10%</t>
  </si>
  <si>
    <t>已进入当前原型</t>
  </si>
  <si>
    <t>hire</t>
  </si>
  <si>
    <t>招聘能源与EHS工程师</t>
  </si>
  <si>
    <t>每年可开工项目 +1；每年增加 38 万人力成本</t>
  </si>
  <si>
    <t>auto</t>
  </si>
  <si>
    <t>产线自动化改造</t>
  </si>
  <si>
    <t>单位人工成本下降约 18%；单价 +2 元</t>
  </si>
  <si>
    <t>iso9</t>
  </si>
  <si>
    <t>ISO 9001 质量管理体系</t>
  </si>
  <si>
    <t>大客户供应商准入；每年 6 万维持费</t>
  </si>
  <si>
    <t>当前原型缺失</t>
  </si>
  <si>
    <t>iso14</t>
  </si>
  <si>
    <t>ISO 14001 环境管理体系</t>
  </si>
  <si>
    <t>大客户与海外准入；每年 6 万维持费</t>
  </si>
  <si>
    <t>iso50</t>
  </si>
  <si>
    <t>ISO 50001 能源管理体系</t>
  </si>
  <si>
    <t>ems</t>
  </si>
  <si>
    <t>海外能源管理要求；绿色评分加分</t>
  </si>
  <si>
    <t>credit</t>
  </si>
  <si>
    <t>申请绿色信贷专项额度</t>
  </si>
  <si>
    <t>预算 +400 万；八年每年还本付息 62 万</t>
  </si>
  <si>
    <t>brand</t>
  </si>
  <si>
    <t>ESG 品牌与客户沟通</t>
  </si>
  <si>
    <t>国内与大客户订单需求 +8%</t>
  </si>
  <si>
    <t>能源低碳化</t>
  </si>
  <si>
    <t>能碳管理平台</t>
  </si>
  <si>
    <t>能源费用降 1.2%；解锁碳足迹与绿电直购</t>
  </si>
  <si>
    <t>fake</t>
  </si>
  <si>
    <t>做几张漂亮的截图</t>
  </si>
  <si>
    <t>暂计平台分；现场复核有扣分风险</t>
  </si>
  <si>
    <t>motor</t>
  </si>
  <si>
    <t>高效电机与变压器</t>
  </si>
  <si>
    <t>单位产品电耗 −8%</t>
  </si>
  <si>
    <t>air</t>
  </si>
  <si>
    <t>空压系统与余热回收</t>
  </si>
  <si>
    <t>电耗 −5%；天然气 −12%</t>
  </si>
  <si>
    <t>boiler</t>
  </si>
  <si>
    <t>燃气锅炉电气化</t>
  </si>
  <si>
    <t>天然气归零；电耗上升；柴油叉车电动化</t>
  </si>
  <si>
    <t>pv</t>
  </si>
  <si>
    <t>屋顶分布式光伏</t>
  </si>
  <si>
    <t>每期年发 200 万 kWh</t>
  </si>
  <si>
    <t>已进入当前原型（暂仅1次）</t>
  </si>
  <si>
    <t>ess</t>
  </si>
  <si>
    <t>用户侧储能</t>
  </si>
  <si>
    <t>光伏自用率 80%→95%；峰谷套利 +45 万/年</t>
  </si>
  <si>
    <t>ppa</t>
  </si>
  <si>
    <t>绿电直购</t>
  </si>
  <si>
    <t>外购电初始覆盖 70%；按用电量支付溢价</t>
  </si>
  <si>
    <t>ppa2</t>
  </si>
  <si>
    <t>绿电直购扩容至100%</t>
  </si>
  <si>
    <t>外购绿电覆盖 70%→100%</t>
  </si>
  <si>
    <t>gec</t>
  </si>
  <si>
    <t>绿证采购（GEC）</t>
  </si>
  <si>
    <t>计入可再生能源率；不降低碳排放强度</t>
  </si>
  <si>
    <t>water</t>
  </si>
  <si>
    <t>资源高效化</t>
  </si>
  <si>
    <t>节水工艺与水平衡测试</t>
  </si>
  <si>
    <t>取水强度达到行业先进水平</t>
  </si>
  <si>
    <t>reuse</t>
  </si>
  <si>
    <t>中水回用系统</t>
  </si>
  <si>
    <t>工业用水重复利用率提升</t>
  </si>
  <si>
    <t>solid</t>
  </si>
  <si>
    <t>固废资源化协同</t>
  </si>
  <si>
    <t>一般工业固废综合利用率提升</t>
  </si>
  <si>
    <t>mat</t>
  </si>
  <si>
    <t>原材料减量与再生料</t>
  </si>
  <si>
    <t>单位材料成本 −4%</t>
  </si>
  <si>
    <t>proc</t>
  </si>
  <si>
    <t>生产洁净化</t>
  </si>
  <si>
    <t>工艺装备对标升级</t>
  </si>
  <si>
    <t>电耗 −6%；故障风险下降</t>
  </si>
  <si>
    <t>poll</t>
  </si>
  <si>
    <t>污染物深度治理</t>
  </si>
  <si>
    <t>消除制冷剂逸散；环保抽查免罚</t>
  </si>
  <si>
    <t>design</t>
  </si>
  <si>
    <t>产品绿色化</t>
  </si>
  <si>
    <t>产品绿色设计</t>
  </si>
  <si>
    <t>出具生态设计报告</t>
  </si>
  <si>
    <t>cfp</t>
  </si>
  <si>
    <t>产品碳足迹核算</t>
  </si>
  <si>
    <t>海外订单准入门票</t>
  </si>
  <si>
    <t>effp</t>
  </si>
  <si>
    <t>产品能效升级至2级</t>
  </si>
  <si>
    <t>节能产品占比得分；单价 +3 元</t>
  </si>
  <si>
    <t>chain</t>
  </si>
  <si>
    <t>供应链碳协同</t>
  </si>
  <si>
    <t>II 型零碳资格；大客户订单 +10%</t>
  </si>
  <si>
    <t>land</t>
  </si>
  <si>
    <t>用地集约化</t>
  </si>
  <si>
    <t>立体仓储与厂区提容</t>
  </si>
  <si>
    <t>容积率与单位用地面积产值提升</t>
  </si>
  <si>
    <t>apply</t>
  </si>
  <si>
    <t>申报与认证</t>
  </si>
  <si>
    <t>启动绿色工厂申报</t>
  </si>
  <si>
    <t>进入材料评审与现场复核</t>
  </si>
  <si>
    <t>bribe</t>
  </si>
  <si>
    <t>找关系疏通评审</t>
  </si>
  <si>
    <t>暂加 12 分；后续可能追责</t>
  </si>
  <si>
    <t>cert</t>
  </si>
  <si>
    <t>冲刺零碳工厂认证</t>
  </si>
  <si>
    <t>绿色工厂资质</t>
  </si>
  <si>
    <t>按剩余排放购买碳信用并申请评价</t>
  </si>
  <si>
    <t>两个项目分两次扣除</t>
    <phoneticPr fontId="9" type="noConversion"/>
  </si>
  <si>
    <r>
      <rPr>
        <sz val="10"/>
        <color rgb="FF5B4300"/>
        <rFont val="Microsoft YaHei"/>
        <family val="2"/>
        <charset val="134"/>
      </rPr>
      <t>先默认</t>
    </r>
    <r>
      <rPr>
        <sz val="10"/>
        <color rgb="FF5B4300"/>
        <rFont val="Arial"/>
        <family val="2"/>
      </rPr>
      <t>key</t>
    </r>
    <phoneticPr fontId="9" type="noConversion"/>
  </si>
  <si>
    <t>确认</t>
    <phoneticPr fontId="9" type="noConversion"/>
  </si>
  <si>
    <r>
      <rPr>
        <sz val="10"/>
        <color rgb="FF5B4300"/>
        <rFont val="Microsoft YaHei"/>
        <family val="2"/>
        <charset val="134"/>
      </rPr>
      <t>如果是</t>
    </r>
    <r>
      <rPr>
        <sz val="10"/>
        <color rgb="FF5B4300"/>
        <rFont val="Arial"/>
        <family val="2"/>
      </rPr>
      <t>slot0</t>
    </r>
    <r>
      <rPr>
        <sz val="10"/>
        <color rgb="FF5B4300"/>
        <rFont val="Microsoft YaHei"/>
        <family val="2"/>
        <charset val="134"/>
      </rPr>
      <t>，建议放到自由行动点相关选择，不放到日程安排</t>
    </r>
    <phoneticPr fontId="9" type="noConversion"/>
  </si>
  <si>
    <r>
      <rPr>
        <sz val="10"/>
        <color rgb="FF5B4300"/>
        <rFont val="Microsoft YaHei"/>
        <family val="2"/>
        <charset val="134"/>
      </rPr>
      <t>这些卡牌都补入，以及需要显隐（</t>
    </r>
    <r>
      <rPr>
        <sz val="10"/>
        <color rgb="FF5B4300"/>
        <rFont val="Arial"/>
        <family val="2"/>
      </rPr>
      <t>html</t>
    </r>
    <r>
      <rPr>
        <sz val="10"/>
        <color rgb="FF5B4300"/>
        <rFont val="Microsoft YaHei"/>
        <family val="2"/>
        <charset val="134"/>
      </rPr>
      <t>能看到有显隐项，就是比如项目2只有在项目1改造完成后才能做，那就只有在项目1做完之后项目2才出现到选择的卡牌区），与此同时，做完的项目卡牌需要消失。另外，卡牌不要太长，能点开看详细信息即可（放到图鉴里面也可以，或者做完的项目可以放入图鉴进行查询），不要在卡牌界面直接显示相关说明。</t>
    </r>
    <phoneticPr fontId="9" type="noConversion"/>
  </si>
  <si>
    <t>按原计划</t>
    <phoneticPr fontId="9" type="noConversion"/>
  </si>
  <si>
    <t>暂时季度推进，但需要注意，原来是默认一年两个行动点，所以一个行动点对应的是6个月的时长。在招了一个人后/升级后，一个行动点的项目4个月就可以做完。以此类推。</t>
    <phoneticPr fontId="9" type="noConversion"/>
  </si>
  <si>
    <t>我觉得你的处理方式是好的，随机事件给我一个写作的模板，我来进行完善。</t>
    <phoneticPr fontId="9" type="noConversion"/>
  </si>
  <si>
    <r>
      <rPr>
        <sz val="10"/>
        <color rgb="FF5B4300"/>
        <rFont val="Microsoft YaHei"/>
        <family val="2"/>
        <charset val="134"/>
      </rPr>
      <t>初始值</t>
    </r>
    <r>
      <rPr>
        <sz val="10"/>
        <color rgb="FF5B4300"/>
        <rFont val="Arial"/>
        <family val="2"/>
      </rPr>
      <t>20</t>
    </r>
    <phoneticPr fontId="9" type="noConversion"/>
  </si>
  <si>
    <r>
      <rPr>
        <sz val="10"/>
        <color rgb="FF5B4300"/>
        <rFont val="Microsoft YaHei"/>
        <family val="2"/>
        <charset val="134"/>
      </rPr>
      <t>之后给我表单另算吧，暂定和领导聊天压力</t>
    </r>
    <r>
      <rPr>
        <sz val="10"/>
        <color rgb="FF5B4300"/>
        <rFont val="Arial"/>
        <family val="2"/>
      </rPr>
      <t>+5</t>
    </r>
    <r>
      <rPr>
        <sz val="10"/>
        <color rgb="FF5B4300"/>
        <rFont val="Microsoft YaHei"/>
        <family val="2"/>
        <charset val="134"/>
      </rPr>
      <t>，和不熟的下属聊天压力+5，和熟络的下属聊天压力-8，散步压力-10，会议随机（需要临时发言压力+8，只听压力-5），项目压力统一先+5（即每个季度固定压力+5），然后每个季度有一次小长假压力-15。</t>
    </r>
    <phoneticPr fontId="9" type="noConversion"/>
  </si>
  <si>
    <t>闲聊先好感+5</t>
    <phoneticPr fontId="9" type="noConversion"/>
  </si>
  <si>
    <r>
      <t>CG</t>
    </r>
    <r>
      <rPr>
        <sz val="10"/>
        <color rgb="FF5B4300"/>
        <rFont val="Microsoft YaHei"/>
        <family val="2"/>
        <charset val="134"/>
      </rPr>
      <t>先确定关系</t>
    </r>
    <r>
      <rPr>
        <sz val="10"/>
        <color rgb="FF5B4300"/>
        <rFont val="Arial"/>
        <family val="2"/>
      </rPr>
      <t>60</t>
    </r>
    <r>
      <rPr>
        <sz val="10"/>
        <color rgb="FF5B4300"/>
        <rFont val="Microsoft YaHei"/>
        <family val="2"/>
        <charset val="134"/>
      </rPr>
      <t>一个，关系</t>
    </r>
    <r>
      <rPr>
        <sz val="10"/>
        <color rgb="FF5B4300"/>
        <rFont val="Arial"/>
        <family val="2"/>
      </rPr>
      <t>100</t>
    </r>
    <r>
      <rPr>
        <sz val="10"/>
        <color rgb="FF5B4300"/>
        <rFont val="Microsoft YaHei"/>
        <family val="2"/>
        <charset val="134"/>
      </rPr>
      <t>一个。</t>
    </r>
    <phoneticPr fontId="9" type="noConversion"/>
  </si>
  <si>
    <t>可以每个季度三次</t>
    <phoneticPr fontId="9" type="noConversion"/>
  </si>
  <si>
    <r>
      <rPr>
        <sz val="10"/>
        <color rgb="FF5B4300"/>
        <rFont val="Microsoft YaHei"/>
        <family val="2"/>
        <charset val="134"/>
      </rPr>
      <t>从</t>
    </r>
    <r>
      <rPr>
        <sz val="10"/>
        <color rgb="FF5B4300"/>
        <rFont val="Arial"/>
        <family val="2"/>
      </rPr>
      <t>2030</t>
    </r>
    <r>
      <rPr>
        <sz val="10"/>
        <color rgb="FF5B4300"/>
        <rFont val="Microsoft YaHei"/>
        <family val="2"/>
        <charset val="134"/>
      </rPr>
      <t>年开始吧，然后</t>
    </r>
    <r>
      <rPr>
        <sz val="10"/>
        <color rgb="FF5B4300"/>
        <rFont val="Arial"/>
        <family val="2"/>
      </rPr>
      <t>2030</t>
    </r>
    <r>
      <rPr>
        <sz val="10"/>
        <color rgb="FF5B4300"/>
        <rFont val="Microsoft YaHei"/>
        <family val="2"/>
        <charset val="134"/>
      </rPr>
      <t>年是第一年。需要同时显示是第几年和哪一年</t>
    </r>
    <phoneticPr fontId="9" type="noConversion"/>
  </si>
  <si>
    <r>
      <rPr>
        <sz val="10"/>
        <color rgb="FF5B4300"/>
        <rFont val="Microsoft YaHei"/>
        <family val="2"/>
        <charset val="134"/>
      </rPr>
      <t>每个月可重复安排；项目支出</t>
    </r>
    <r>
      <rPr>
        <sz val="10"/>
        <color rgb="FF5B4300"/>
        <rFont val="Arial"/>
        <family val="2"/>
      </rPr>
      <t xml:space="preserve"> 0</t>
    </r>
    <r>
      <rPr>
        <sz val="10"/>
        <color rgb="FF5B4300"/>
        <rFont val="Microsoft YaHei"/>
        <family val="2"/>
        <charset val="134"/>
      </rPr>
      <t>，压力</t>
    </r>
    <r>
      <rPr>
        <sz val="10"/>
        <color rgb="FF5B4300"/>
        <rFont val="Arial"/>
        <family val="2"/>
      </rPr>
      <t>-10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</si>
</sst>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315B49"/>
      <name val="Arial"/>
      <family val="2"/>
    </font>
    <font>
      <i/>
      <sz val="10"/>
      <color rgb="FF66766E"/>
      <name val="Arial"/>
      <family val="2"/>
    </font>
    <font>
      <b/>
      <sz val="10"/>
      <color rgb="FF315B49"/>
      <name val="Arial"/>
      <family val="2"/>
    </font>
    <font>
      <sz val="10"/>
      <color rgb="FF27342F"/>
      <name val="Arial"/>
      <family val="2"/>
    </font>
    <font>
      <b/>
      <sz val="10"/>
      <color rgb="FFFFFFFF"/>
      <name val="Arial"/>
      <family val="2"/>
    </font>
    <font>
      <sz val="10"/>
      <color rgb="FF5B4300"/>
      <name val="Arial"/>
      <family val="2"/>
    </font>
    <font>
      <b/>
      <sz val="10"/>
      <color rgb="FF2E6A45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0"/>
      <color rgb="FF5B4300"/>
      <name val="Microsoft YaHei"/>
      <family val="2"/>
      <charset val="134"/>
    </font>
    <font>
      <sz val="10"/>
      <color rgb="FF5B430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EAF1EC"/>
      </patternFill>
    </fill>
    <fill>
      <patternFill patternType="solid">
        <fgColor rgb="FF315B49"/>
      </patternFill>
    </fill>
    <fill>
      <patternFill patternType="solid">
        <fgColor rgb="FFFFF2CC"/>
      </patternFill>
    </fill>
    <fill>
      <patternFill patternType="solid">
        <fgColor rgb="FFE3F1E8"/>
      </patternFill>
    </fill>
  </fills>
  <borders count="9">
    <border>
      <left/>
      <right/>
      <top/>
      <bottom/>
      <diagonal/>
    </border>
    <border>
      <left style="thin">
        <color rgb="FFD8E1DB"/>
      </left>
      <right/>
      <top style="thin">
        <color rgb="FFD8E1DB"/>
      </top>
      <bottom style="thin">
        <color rgb="FFD8E1DB"/>
      </bottom>
      <diagonal/>
    </border>
    <border>
      <left/>
      <right/>
      <top style="thin">
        <color rgb="FFD8E1DB"/>
      </top>
      <bottom style="thin">
        <color rgb="FFD8E1DB"/>
      </bottom>
      <diagonal/>
    </border>
    <border>
      <left/>
      <right style="thin">
        <color rgb="FFD8E1DB"/>
      </right>
      <top style="thin">
        <color rgb="FFD8E1DB"/>
      </top>
      <bottom style="thin">
        <color rgb="FFD8E1D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1DB"/>
      </bottom>
      <diagonal/>
    </border>
    <border>
      <left style="thin">
        <color rgb="FFD6B656"/>
      </left>
      <right style="thin">
        <color rgb="FFD6B656"/>
      </right>
      <top style="thin">
        <color rgb="FFD8E1DB"/>
      </top>
      <bottom style="thin">
        <color rgb="FFD8E1DB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vertical="top"/>
    </xf>
    <xf numFmtId="0" fontId="4" fillId="0" borderId="7" xfId="1" applyFont="1" applyBorder="1" applyAlignment="1">
      <alignment vertical="top" wrapText="1"/>
    </xf>
    <xf numFmtId="0" fontId="4" fillId="0" borderId="2" xfId="1" applyFont="1" applyBorder="1" applyAlignment="1">
      <alignment vertical="top"/>
    </xf>
    <xf numFmtId="0" fontId="4" fillId="0" borderId="2" xfId="1" applyFont="1" applyBorder="1" applyAlignment="1">
      <alignment vertical="top" wrapText="1"/>
    </xf>
    <xf numFmtId="0" fontId="6" fillId="4" borderId="8" xfId="1" applyFont="1" applyFill="1" applyBorder="1" applyAlignment="1">
      <alignment vertical="top" wrapText="1"/>
    </xf>
    <xf numFmtId="3" fontId="4" fillId="0" borderId="7" xfId="1" applyNumberFormat="1" applyFont="1" applyBorder="1" applyAlignment="1">
      <alignment vertical="top"/>
    </xf>
    <xf numFmtId="3" fontId="4" fillId="0" borderId="2" xfId="1" applyNumberFormat="1" applyFont="1" applyBorder="1" applyAlignment="1">
      <alignment vertical="top"/>
    </xf>
    <xf numFmtId="0" fontId="7" fillId="5" borderId="2" xfId="1" applyFont="1" applyFill="1" applyBorder="1" applyAlignment="1">
      <alignment vertical="top"/>
    </xf>
    <xf numFmtId="0" fontId="10" fillId="4" borderId="8" xfId="1" applyFont="1" applyFill="1" applyBorder="1" applyAlignment="1">
      <alignment vertical="top" wrapText="1"/>
    </xf>
    <xf numFmtId="0" fontId="11" fillId="4" borderId="8" xfId="1" applyFont="1" applyFill="1" applyBorder="1" applyAlignment="1">
      <alignment vertical="top" wrapText="1"/>
    </xf>
    <xf numFmtId="0" fontId="1" fillId="0" borderId="0" xfId="1" applyFont="1"/>
    <xf numFmtId="0" fontId="0" fillId="0" borderId="0" xfId="0"/>
    <xf numFmtId="0" fontId="2" fillId="0" borderId="0" xfId="1" applyFont="1"/>
  </cellXfs>
  <cellStyles count="2">
    <cellStyle name="Normal" xfId="1" xr:uid="{00000000-0005-0000-0000-000000000000}"/>
    <cellStyle name="常规" xfId="0" builtinId="0"/>
  </cellStyles>
  <dxfs count="4">
    <dxf>
      <font>
        <color rgb="FF2E6A45"/>
      </font>
      <fill>
        <patternFill>
          <bgColor rgb="FFE3F1E8"/>
        </patternFill>
      </fill>
    </dxf>
    <dxf>
      <font>
        <b/>
        <color rgb="FF9C3328"/>
      </font>
      <fill>
        <patternFill>
          <bgColor rgb="FFFCE8E6"/>
        </patternFill>
      </fill>
    </dxf>
    <dxf>
      <font>
        <b/>
        <color rgb="FF2E6A45"/>
      </font>
      <fill>
        <patternFill>
          <bgColor rgb="FFE3F1E8"/>
        </patternFill>
      </fill>
    </dxf>
    <dxf>
      <font>
        <b/>
        <color rgb="FF9C3328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B49"/>
  </sheetPr>
  <dimension ref="A2:K26"/>
  <sheetViews>
    <sheetView showGridLines="0" tabSelected="1" topLeftCell="C1" workbookViewId="0">
      <pane ySplit="7" topLeftCell="A8" activePane="bottomLeft" state="frozen"/>
      <selection pane="bottomLeft" activeCell="H27" sqref="H27"/>
    </sheetView>
  </sheetViews>
  <sheetFormatPr baseColWidth="10" defaultColWidth="8.83203125" defaultRowHeight="14"/>
  <cols>
    <col min="1" max="1" width="10" customWidth="1"/>
    <col min="2" max="2" width="14" customWidth="1"/>
    <col min="3" max="3" width="24" customWidth="1"/>
    <col min="4" max="4" width="14" customWidth="1"/>
    <col min="5" max="5" width="48" customWidth="1"/>
    <col min="6" max="6" width="16" customWidth="1"/>
    <col min="7" max="7" width="29" customWidth="1"/>
    <col min="8" max="8" width="99.33203125" customWidth="1"/>
    <col min="9" max="9" width="17" customWidth="1"/>
    <col min="10" max="10" width="32" customWidth="1"/>
    <col min="11" max="11" width="12" customWidth="1"/>
  </cols>
  <sheetData>
    <row r="2" spans="1:11" ht="28" customHeight="1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3" customHeight="1">
      <c r="A3" s="19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ht="24" customHeight="1">
      <c r="A5" s="1" t="s">
        <v>2</v>
      </c>
      <c r="B5" s="2">
        <f>COUNTIF(K8:K26,"待确认")</f>
        <v>0</v>
      </c>
      <c r="C5" s="2" t="s">
        <v>3</v>
      </c>
      <c r="D5" s="2">
        <f>COUNTIF(K8:K26,"已填写")</f>
        <v>16</v>
      </c>
      <c r="E5" s="2" t="s">
        <v>4</v>
      </c>
      <c r="F5" s="3">
        <v>11</v>
      </c>
    </row>
    <row r="7" spans="1:11" ht="28" customHeight="1">
      <c r="A7" s="4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6" t="s">
        <v>15</v>
      </c>
    </row>
    <row r="8" spans="1:11" ht="46" customHeight="1">
      <c r="A8" s="7" t="s">
        <v>16</v>
      </c>
      <c r="B8" s="7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11" t="s">
        <v>22</v>
      </c>
      <c r="I8" s="8" t="s">
        <v>23</v>
      </c>
      <c r="J8" s="8" t="s">
        <v>24</v>
      </c>
      <c r="K8" s="7" t="str">
        <f t="shared" ref="K8:K26" si="0">IF(D8="HTML已确定","无需填写",IF(OR(D8="用户已确认",H8&lt;&gt;""),"已填写","待确认"))</f>
        <v>无需填写</v>
      </c>
    </row>
    <row r="9" spans="1:11" ht="46" customHeight="1">
      <c r="A9" s="9" t="s">
        <v>25</v>
      </c>
      <c r="B9" s="9" t="s">
        <v>17</v>
      </c>
      <c r="C9" s="10" t="s">
        <v>26</v>
      </c>
      <c r="D9" s="10" t="s">
        <v>19</v>
      </c>
      <c r="E9" s="10" t="s">
        <v>27</v>
      </c>
      <c r="F9" s="10" t="s">
        <v>21</v>
      </c>
      <c r="G9" s="10" t="s">
        <v>22</v>
      </c>
      <c r="H9" s="11" t="s">
        <v>22</v>
      </c>
      <c r="I9" s="10" t="s">
        <v>23</v>
      </c>
      <c r="J9" s="10" t="s">
        <v>28</v>
      </c>
      <c r="K9" s="9" t="str">
        <f t="shared" si="0"/>
        <v>无需填写</v>
      </c>
    </row>
    <row r="10" spans="1:11" ht="46" customHeight="1">
      <c r="A10" s="9" t="s">
        <v>29</v>
      </c>
      <c r="B10" s="9" t="s">
        <v>17</v>
      </c>
      <c r="C10" s="10" t="s">
        <v>30</v>
      </c>
      <c r="D10" s="10" t="s">
        <v>31</v>
      </c>
      <c r="E10" s="10" t="s">
        <v>32</v>
      </c>
      <c r="F10" s="10"/>
      <c r="G10" s="10" t="s">
        <v>33</v>
      </c>
      <c r="H10" s="16" t="s">
        <v>256</v>
      </c>
      <c r="I10" s="10" t="s">
        <v>34</v>
      </c>
      <c r="J10" s="10" t="s">
        <v>35</v>
      </c>
      <c r="K10" s="9" t="str">
        <f t="shared" si="0"/>
        <v>已填写</v>
      </c>
    </row>
    <row r="11" spans="1:11" ht="46" customHeight="1">
      <c r="A11" s="9" t="s">
        <v>36</v>
      </c>
      <c r="B11" s="9" t="s">
        <v>37</v>
      </c>
      <c r="C11" s="10" t="s">
        <v>38</v>
      </c>
      <c r="D11" s="10" t="s">
        <v>39</v>
      </c>
      <c r="E11" s="10" t="s">
        <v>40</v>
      </c>
      <c r="F11" s="10" t="s">
        <v>21</v>
      </c>
      <c r="G11" s="10" t="s">
        <v>41</v>
      </c>
      <c r="H11" s="15" t="s">
        <v>257</v>
      </c>
      <c r="I11" s="10" t="s">
        <v>42</v>
      </c>
      <c r="J11" s="10" t="s">
        <v>43</v>
      </c>
      <c r="K11" s="9" t="str">
        <f t="shared" si="0"/>
        <v>已填写</v>
      </c>
    </row>
    <row r="12" spans="1:11" ht="46" customHeight="1">
      <c r="A12" s="9" t="s">
        <v>44</v>
      </c>
      <c r="B12" s="9" t="s">
        <v>37</v>
      </c>
      <c r="C12" s="10" t="s">
        <v>45</v>
      </c>
      <c r="D12" s="10" t="s">
        <v>31</v>
      </c>
      <c r="E12" s="10" t="s">
        <v>46</v>
      </c>
      <c r="F12" s="10"/>
      <c r="G12" s="10" t="s">
        <v>47</v>
      </c>
      <c r="H12" s="11" t="s">
        <v>47</v>
      </c>
      <c r="I12" s="10" t="s">
        <v>48</v>
      </c>
      <c r="J12" s="10" t="s">
        <v>49</v>
      </c>
      <c r="K12" s="9" t="str">
        <f t="shared" si="0"/>
        <v>已填写</v>
      </c>
    </row>
    <row r="13" spans="1:11" ht="46" customHeight="1">
      <c r="A13" s="9" t="s">
        <v>50</v>
      </c>
      <c r="B13" s="9" t="s">
        <v>37</v>
      </c>
      <c r="C13" s="10" t="s">
        <v>51</v>
      </c>
      <c r="D13" s="10" t="s">
        <v>19</v>
      </c>
      <c r="E13" s="10" t="s">
        <v>52</v>
      </c>
      <c r="F13" s="10" t="s">
        <v>21</v>
      </c>
      <c r="G13" s="10" t="s">
        <v>53</v>
      </c>
      <c r="H13" s="15" t="s">
        <v>255</v>
      </c>
      <c r="I13" s="10" t="s">
        <v>54</v>
      </c>
      <c r="J13" s="10" t="s">
        <v>55</v>
      </c>
      <c r="K13" s="9" t="str">
        <f t="shared" si="0"/>
        <v>无需填写</v>
      </c>
    </row>
    <row r="14" spans="1:11" ht="46" customHeight="1">
      <c r="A14" s="9" t="s">
        <v>56</v>
      </c>
      <c r="B14" s="9" t="s">
        <v>37</v>
      </c>
      <c r="C14" s="10" t="s">
        <v>57</v>
      </c>
      <c r="D14" s="10" t="s">
        <v>31</v>
      </c>
      <c r="E14" s="10" t="s">
        <v>58</v>
      </c>
      <c r="F14" s="10"/>
      <c r="G14" s="10" t="s">
        <v>59</v>
      </c>
      <c r="H14" s="16" t="s">
        <v>258</v>
      </c>
      <c r="I14" s="10" t="s">
        <v>42</v>
      </c>
      <c r="J14" s="10" t="s">
        <v>60</v>
      </c>
      <c r="K14" s="9" t="str">
        <f t="shared" si="0"/>
        <v>已填写</v>
      </c>
    </row>
    <row r="15" spans="1:11" ht="46" customHeight="1">
      <c r="A15" s="9" t="s">
        <v>61</v>
      </c>
      <c r="B15" s="9" t="s">
        <v>62</v>
      </c>
      <c r="C15" s="10" t="s">
        <v>63</v>
      </c>
      <c r="D15" s="10" t="s">
        <v>31</v>
      </c>
      <c r="E15" s="10" t="s">
        <v>64</v>
      </c>
      <c r="F15" s="10"/>
      <c r="G15" s="10" t="s">
        <v>65</v>
      </c>
      <c r="H15" s="16" t="s">
        <v>259</v>
      </c>
      <c r="I15" s="10" t="s">
        <v>66</v>
      </c>
      <c r="J15" s="10" t="s">
        <v>67</v>
      </c>
      <c r="K15" s="9" t="str">
        <f t="shared" si="0"/>
        <v>已填写</v>
      </c>
    </row>
    <row r="16" spans="1:11" ht="46" customHeight="1">
      <c r="A16" s="9" t="s">
        <v>68</v>
      </c>
      <c r="B16" s="9" t="s">
        <v>69</v>
      </c>
      <c r="C16" s="10" t="s">
        <v>70</v>
      </c>
      <c r="D16" s="10" t="s">
        <v>39</v>
      </c>
      <c r="E16" s="10" t="s">
        <v>71</v>
      </c>
      <c r="F16" s="10" t="s">
        <v>21</v>
      </c>
      <c r="G16" s="10" t="s">
        <v>72</v>
      </c>
      <c r="H16" s="11" t="s">
        <v>73</v>
      </c>
      <c r="I16" s="10" t="s">
        <v>42</v>
      </c>
      <c r="J16" s="10" t="s">
        <v>74</v>
      </c>
      <c r="K16" s="9" t="str">
        <f t="shared" si="0"/>
        <v>已填写</v>
      </c>
    </row>
    <row r="17" spans="1:11" ht="46" customHeight="1">
      <c r="A17" s="9" t="s">
        <v>75</v>
      </c>
      <c r="B17" s="9" t="s">
        <v>69</v>
      </c>
      <c r="C17" s="10" t="s">
        <v>76</v>
      </c>
      <c r="D17" s="10" t="s">
        <v>31</v>
      </c>
      <c r="E17" s="10" t="s">
        <v>77</v>
      </c>
      <c r="F17" s="10"/>
      <c r="G17" s="10" t="s">
        <v>78</v>
      </c>
      <c r="H17" s="15" t="s">
        <v>260</v>
      </c>
      <c r="I17" s="10" t="s">
        <v>42</v>
      </c>
      <c r="J17" s="10" t="s">
        <v>79</v>
      </c>
      <c r="K17" s="9" t="str">
        <f t="shared" si="0"/>
        <v>已填写</v>
      </c>
    </row>
    <row r="18" spans="1:11" ht="46" customHeight="1">
      <c r="A18" s="9" t="s">
        <v>80</v>
      </c>
      <c r="B18" s="9" t="s">
        <v>69</v>
      </c>
      <c r="C18" s="10" t="s">
        <v>81</v>
      </c>
      <c r="D18" s="10" t="s">
        <v>31</v>
      </c>
      <c r="E18" s="10" t="s">
        <v>82</v>
      </c>
      <c r="F18" s="10"/>
      <c r="G18" s="10" t="s">
        <v>83</v>
      </c>
      <c r="H18" s="15" t="s">
        <v>261</v>
      </c>
      <c r="I18" s="10" t="s">
        <v>84</v>
      </c>
      <c r="J18" s="10" t="s">
        <v>85</v>
      </c>
      <c r="K18" s="9" t="str">
        <f t="shared" si="0"/>
        <v>已填写</v>
      </c>
    </row>
    <row r="19" spans="1:11" ht="46" customHeight="1">
      <c r="A19" s="9" t="s">
        <v>86</v>
      </c>
      <c r="B19" s="9" t="s">
        <v>87</v>
      </c>
      <c r="C19" s="10" t="s">
        <v>88</v>
      </c>
      <c r="D19" s="10" t="s">
        <v>31</v>
      </c>
      <c r="E19" s="10" t="s">
        <v>89</v>
      </c>
      <c r="F19" s="10"/>
      <c r="G19" s="10" t="s">
        <v>90</v>
      </c>
      <c r="H19" s="15" t="s">
        <v>262</v>
      </c>
      <c r="I19" s="10" t="s">
        <v>91</v>
      </c>
      <c r="J19" s="10" t="s">
        <v>92</v>
      </c>
      <c r="K19" s="9" t="str">
        <f t="shared" si="0"/>
        <v>已填写</v>
      </c>
    </row>
    <row r="20" spans="1:11" ht="46" customHeight="1">
      <c r="A20" s="9" t="s">
        <v>93</v>
      </c>
      <c r="B20" s="9" t="s">
        <v>94</v>
      </c>
      <c r="C20" s="10" t="s">
        <v>95</v>
      </c>
      <c r="D20" s="10" t="s">
        <v>96</v>
      </c>
      <c r="E20" s="10" t="s">
        <v>97</v>
      </c>
      <c r="F20" s="10"/>
      <c r="G20" s="10" t="s">
        <v>98</v>
      </c>
      <c r="H20" s="16" t="s">
        <v>263</v>
      </c>
      <c r="I20" s="10" t="s">
        <v>99</v>
      </c>
      <c r="J20" s="10" t="s">
        <v>100</v>
      </c>
      <c r="K20" s="9" t="str">
        <f t="shared" si="0"/>
        <v>已填写</v>
      </c>
    </row>
    <row r="21" spans="1:11" ht="46" customHeight="1">
      <c r="A21" s="9" t="s">
        <v>101</v>
      </c>
      <c r="B21" s="9" t="s">
        <v>94</v>
      </c>
      <c r="C21" s="10" t="s">
        <v>102</v>
      </c>
      <c r="D21" s="10" t="s">
        <v>96</v>
      </c>
      <c r="E21" s="10" t="s">
        <v>103</v>
      </c>
      <c r="F21" s="10"/>
      <c r="G21" s="10" t="s">
        <v>104</v>
      </c>
      <c r="H21" s="16" t="s">
        <v>264</v>
      </c>
      <c r="I21" s="10" t="s">
        <v>105</v>
      </c>
      <c r="J21" s="10" t="s">
        <v>106</v>
      </c>
      <c r="K21" s="9" t="str">
        <f t="shared" si="0"/>
        <v>已填写</v>
      </c>
    </row>
    <row r="22" spans="1:11" ht="46" customHeight="1">
      <c r="A22" s="9" t="s">
        <v>107</v>
      </c>
      <c r="B22" s="9" t="s">
        <v>108</v>
      </c>
      <c r="C22" s="10" t="s">
        <v>109</v>
      </c>
      <c r="D22" s="10" t="s">
        <v>96</v>
      </c>
      <c r="E22" s="10" t="s">
        <v>110</v>
      </c>
      <c r="F22" s="10"/>
      <c r="G22" s="10" t="s">
        <v>98</v>
      </c>
      <c r="H22" s="15" t="s">
        <v>265</v>
      </c>
      <c r="I22" s="10" t="s">
        <v>105</v>
      </c>
      <c r="J22" s="10" t="s">
        <v>111</v>
      </c>
      <c r="K22" s="9" t="str">
        <f t="shared" si="0"/>
        <v>已填写</v>
      </c>
    </row>
    <row r="23" spans="1:11" ht="46" customHeight="1">
      <c r="A23" s="9" t="s">
        <v>112</v>
      </c>
      <c r="B23" s="9" t="s">
        <v>108</v>
      </c>
      <c r="C23" s="10" t="s">
        <v>113</v>
      </c>
      <c r="D23" s="10" t="s">
        <v>96</v>
      </c>
      <c r="E23" s="10" t="s">
        <v>114</v>
      </c>
      <c r="F23" s="10"/>
      <c r="G23" s="10" t="s">
        <v>98</v>
      </c>
      <c r="H23" s="11" t="s">
        <v>266</v>
      </c>
      <c r="I23" s="10" t="s">
        <v>115</v>
      </c>
      <c r="J23" s="10" t="s">
        <v>116</v>
      </c>
      <c r="K23" s="9" t="str">
        <f t="shared" si="0"/>
        <v>已填写</v>
      </c>
    </row>
    <row r="24" spans="1:11" ht="46" customHeight="1">
      <c r="A24" s="9" t="s">
        <v>117</v>
      </c>
      <c r="B24" s="9" t="s">
        <v>118</v>
      </c>
      <c r="C24" s="10" t="s">
        <v>119</v>
      </c>
      <c r="D24" s="10" t="s">
        <v>31</v>
      </c>
      <c r="E24" s="10" t="s">
        <v>120</v>
      </c>
      <c r="F24" s="10"/>
      <c r="G24" s="10" t="s">
        <v>121</v>
      </c>
      <c r="H24" s="15" t="s">
        <v>267</v>
      </c>
      <c r="I24" s="10" t="s">
        <v>122</v>
      </c>
      <c r="J24" s="10" t="s">
        <v>123</v>
      </c>
      <c r="K24" s="9" t="str">
        <f t="shared" si="0"/>
        <v>已填写</v>
      </c>
    </row>
    <row r="25" spans="1:11" ht="46" customHeight="1">
      <c r="A25" s="9" t="s">
        <v>124</v>
      </c>
      <c r="B25" s="9" t="s">
        <v>125</v>
      </c>
      <c r="C25" s="10" t="s">
        <v>126</v>
      </c>
      <c r="D25" s="10" t="s">
        <v>31</v>
      </c>
      <c r="E25" s="10" t="s">
        <v>127</v>
      </c>
      <c r="F25" s="10"/>
      <c r="G25" s="10" t="s">
        <v>128</v>
      </c>
      <c r="H25" s="16" t="s">
        <v>268</v>
      </c>
      <c r="I25" s="10" t="s">
        <v>129</v>
      </c>
      <c r="J25" s="10" t="s">
        <v>130</v>
      </c>
      <c r="K25" s="9" t="str">
        <f t="shared" si="0"/>
        <v>已填写</v>
      </c>
    </row>
    <row r="26" spans="1:11" ht="46" customHeight="1">
      <c r="A26" s="9" t="s">
        <v>131</v>
      </c>
      <c r="B26" s="9" t="s">
        <v>132</v>
      </c>
      <c r="C26" s="10" t="s">
        <v>133</v>
      </c>
      <c r="D26" s="10" t="s">
        <v>39</v>
      </c>
      <c r="E26" s="10" t="s">
        <v>134</v>
      </c>
      <c r="F26" s="10" t="s">
        <v>21</v>
      </c>
      <c r="G26" s="10" t="s">
        <v>135</v>
      </c>
      <c r="H26" s="16" t="s">
        <v>269</v>
      </c>
      <c r="I26" s="10" t="s">
        <v>42</v>
      </c>
      <c r="J26" s="10" t="s">
        <v>136</v>
      </c>
      <c r="K26" s="14" t="str">
        <f t="shared" si="0"/>
        <v>已填写</v>
      </c>
    </row>
  </sheetData>
  <mergeCells count="2">
    <mergeCell ref="A2:K2"/>
    <mergeCell ref="A3:K3"/>
  </mergeCells>
  <phoneticPr fontId="9" type="noConversion"/>
  <conditionalFormatting sqref="K8:K25">
    <cfRule type="containsText" dxfId="3" priority="1" operator="containsText" text="待确认"/>
    <cfRule type="containsText" dxfId="2" priority="2" operator="containsText" text="已填写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F927F"/>
  </sheetPr>
  <dimension ref="A2:I37"/>
  <sheetViews>
    <sheetView showGridLines="0" workbookViewId="0">
      <pane ySplit="5" topLeftCell="A2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6" customWidth="1"/>
    <col min="3" max="3" width="27" customWidth="1"/>
    <col min="4" max="4" width="14" customWidth="1"/>
    <col min="5" max="5" width="9" customWidth="1"/>
    <col min="6" max="6" width="8" customWidth="1"/>
    <col min="7" max="7" width="16" customWidth="1"/>
    <col min="8" max="8" width="48" customWidth="1"/>
    <col min="9" max="9" width="24" customWidth="1"/>
  </cols>
  <sheetData>
    <row r="2" spans="1:9" ht="28" customHeight="1">
      <c r="A2" s="17" t="s">
        <v>137</v>
      </c>
      <c r="B2" s="18"/>
      <c r="C2" s="18"/>
      <c r="D2" s="18"/>
      <c r="E2" s="18"/>
      <c r="F2" s="18"/>
      <c r="G2" s="18"/>
      <c r="H2" s="18"/>
      <c r="I2" s="18"/>
    </row>
    <row r="3" spans="1:9" ht="22" customHeight="1">
      <c r="A3" s="19" t="s">
        <v>138</v>
      </c>
      <c r="B3" s="18"/>
      <c r="C3" s="18"/>
      <c r="D3" s="18"/>
      <c r="E3" s="18"/>
      <c r="F3" s="18"/>
      <c r="G3" s="18"/>
      <c r="H3" s="18"/>
      <c r="I3" s="18"/>
    </row>
    <row r="5" spans="1:9" ht="28" customHeight="1">
      <c r="A5" s="4" t="s">
        <v>139</v>
      </c>
      <c r="B5" s="5" t="s">
        <v>140</v>
      </c>
      <c r="C5" s="5" t="s">
        <v>141</v>
      </c>
      <c r="D5" s="5" t="s">
        <v>142</v>
      </c>
      <c r="E5" s="5" t="s">
        <v>143</v>
      </c>
      <c r="F5" s="5" t="s">
        <v>144</v>
      </c>
      <c r="G5" s="5" t="s">
        <v>145</v>
      </c>
      <c r="H5" s="5" t="s">
        <v>146</v>
      </c>
      <c r="I5" s="6" t="s">
        <v>147</v>
      </c>
    </row>
    <row r="6" spans="1:9" ht="34" customHeight="1">
      <c r="A6" s="7" t="s">
        <v>148</v>
      </c>
      <c r="B6" s="7" t="s">
        <v>149</v>
      </c>
      <c r="C6" s="7" t="s">
        <v>150</v>
      </c>
      <c r="D6" s="12">
        <v>850</v>
      </c>
      <c r="E6" s="7">
        <v>2</v>
      </c>
      <c r="F6" s="7">
        <v>2</v>
      </c>
      <c r="G6" s="7" t="s">
        <v>21</v>
      </c>
      <c r="H6" s="8" t="s">
        <v>151</v>
      </c>
      <c r="I6" s="8" t="s">
        <v>152</v>
      </c>
    </row>
    <row r="7" spans="1:9" ht="34" customHeight="1">
      <c r="A7" s="9" t="s">
        <v>153</v>
      </c>
      <c r="B7" s="9" t="s">
        <v>149</v>
      </c>
      <c r="C7" s="9" t="s">
        <v>154</v>
      </c>
      <c r="D7" s="13">
        <v>15</v>
      </c>
      <c r="E7" s="9">
        <v>0</v>
      </c>
      <c r="F7" s="9">
        <v>2</v>
      </c>
      <c r="G7" s="9" t="s">
        <v>21</v>
      </c>
      <c r="H7" s="10" t="s">
        <v>155</v>
      </c>
      <c r="I7" s="10" t="s">
        <v>152</v>
      </c>
    </row>
    <row r="8" spans="1:9" ht="34" customHeight="1">
      <c r="A8" s="9" t="s">
        <v>156</v>
      </c>
      <c r="B8" s="9" t="s">
        <v>149</v>
      </c>
      <c r="C8" s="9" t="s">
        <v>157</v>
      </c>
      <c r="D8" s="13">
        <v>600</v>
      </c>
      <c r="E8" s="9">
        <v>2</v>
      </c>
      <c r="F8" s="9">
        <v>1</v>
      </c>
      <c r="G8" s="9" t="s">
        <v>21</v>
      </c>
      <c r="H8" s="10" t="s">
        <v>158</v>
      </c>
      <c r="I8" s="10" t="s">
        <v>152</v>
      </c>
    </row>
    <row r="9" spans="1:9" ht="34" customHeight="1">
      <c r="A9" s="9" t="s">
        <v>159</v>
      </c>
      <c r="B9" s="9" t="s">
        <v>149</v>
      </c>
      <c r="C9" s="9" t="s">
        <v>160</v>
      </c>
      <c r="D9" s="13">
        <v>55</v>
      </c>
      <c r="E9" s="9">
        <v>1</v>
      </c>
      <c r="F9" s="9">
        <v>1</v>
      </c>
      <c r="G9" s="9" t="s">
        <v>21</v>
      </c>
      <c r="H9" s="10" t="s">
        <v>161</v>
      </c>
      <c r="I9" s="10" t="s">
        <v>162</v>
      </c>
    </row>
    <row r="10" spans="1:9" ht="34" customHeight="1">
      <c r="A10" s="9" t="s">
        <v>163</v>
      </c>
      <c r="B10" s="9" t="s">
        <v>149</v>
      </c>
      <c r="C10" s="9" t="s">
        <v>164</v>
      </c>
      <c r="D10" s="13">
        <v>65</v>
      </c>
      <c r="E10" s="9">
        <v>1</v>
      </c>
      <c r="F10" s="9">
        <v>1</v>
      </c>
      <c r="G10" s="9" t="s">
        <v>21</v>
      </c>
      <c r="H10" s="10" t="s">
        <v>165</v>
      </c>
      <c r="I10" s="10" t="s">
        <v>162</v>
      </c>
    </row>
    <row r="11" spans="1:9" ht="34" customHeight="1">
      <c r="A11" s="9" t="s">
        <v>166</v>
      </c>
      <c r="B11" s="9" t="s">
        <v>149</v>
      </c>
      <c r="C11" s="9" t="s">
        <v>167</v>
      </c>
      <c r="D11" s="13">
        <v>70</v>
      </c>
      <c r="E11" s="9">
        <v>1</v>
      </c>
      <c r="F11" s="9">
        <v>1</v>
      </c>
      <c r="G11" s="9" t="s">
        <v>168</v>
      </c>
      <c r="H11" s="10" t="s">
        <v>169</v>
      </c>
      <c r="I11" s="10" t="s">
        <v>162</v>
      </c>
    </row>
    <row r="12" spans="1:9" ht="34" customHeight="1">
      <c r="A12" s="9" t="s">
        <v>170</v>
      </c>
      <c r="B12" s="9" t="s">
        <v>149</v>
      </c>
      <c r="C12" s="9" t="s">
        <v>171</v>
      </c>
      <c r="D12" s="13">
        <v>0</v>
      </c>
      <c r="E12" s="9">
        <v>0</v>
      </c>
      <c r="F12" s="9">
        <v>1</v>
      </c>
      <c r="G12" s="9" t="s">
        <v>21</v>
      </c>
      <c r="H12" s="10" t="s">
        <v>172</v>
      </c>
      <c r="I12" s="10" t="s">
        <v>162</v>
      </c>
    </row>
    <row r="13" spans="1:9" ht="34" customHeight="1">
      <c r="A13" s="9" t="s">
        <v>173</v>
      </c>
      <c r="B13" s="9" t="s">
        <v>149</v>
      </c>
      <c r="C13" s="9" t="s">
        <v>174</v>
      </c>
      <c r="D13" s="13">
        <v>120</v>
      </c>
      <c r="E13" s="9">
        <v>0</v>
      </c>
      <c r="F13" s="9">
        <v>1</v>
      </c>
      <c r="G13" s="9" t="s">
        <v>21</v>
      </c>
      <c r="H13" s="10" t="s">
        <v>175</v>
      </c>
      <c r="I13" s="10" t="s">
        <v>152</v>
      </c>
    </row>
    <row r="14" spans="1:9" ht="34" customHeight="1">
      <c r="A14" s="9" t="s">
        <v>168</v>
      </c>
      <c r="B14" s="9" t="s">
        <v>176</v>
      </c>
      <c r="C14" s="9" t="s">
        <v>177</v>
      </c>
      <c r="D14" s="13">
        <v>160</v>
      </c>
      <c r="E14" s="9">
        <v>1</v>
      </c>
      <c r="F14" s="9">
        <v>1</v>
      </c>
      <c r="G14" s="9" t="s">
        <v>21</v>
      </c>
      <c r="H14" s="10" t="s">
        <v>178</v>
      </c>
      <c r="I14" s="10" t="s">
        <v>152</v>
      </c>
    </row>
    <row r="15" spans="1:9" ht="34" customHeight="1">
      <c r="A15" s="9" t="s">
        <v>179</v>
      </c>
      <c r="B15" s="9" t="s">
        <v>176</v>
      </c>
      <c r="C15" s="9" t="s">
        <v>180</v>
      </c>
      <c r="D15" s="13">
        <v>8</v>
      </c>
      <c r="E15" s="9">
        <v>0</v>
      </c>
      <c r="F15" s="9">
        <v>1</v>
      </c>
      <c r="G15" s="9" t="s">
        <v>21</v>
      </c>
      <c r="H15" s="10" t="s">
        <v>181</v>
      </c>
      <c r="I15" s="10" t="s">
        <v>162</v>
      </c>
    </row>
    <row r="16" spans="1:9" ht="34" customHeight="1">
      <c r="A16" s="9" t="s">
        <v>182</v>
      </c>
      <c r="B16" s="9" t="s">
        <v>176</v>
      </c>
      <c r="C16" s="9" t="s">
        <v>183</v>
      </c>
      <c r="D16" s="13">
        <v>180</v>
      </c>
      <c r="E16" s="9">
        <v>1</v>
      </c>
      <c r="F16" s="9">
        <v>1</v>
      </c>
      <c r="G16" s="9" t="s">
        <v>21</v>
      </c>
      <c r="H16" s="10" t="s">
        <v>184</v>
      </c>
      <c r="I16" s="10" t="s">
        <v>152</v>
      </c>
    </row>
    <row r="17" spans="1:9" ht="34" customHeight="1">
      <c r="A17" s="9" t="s">
        <v>185</v>
      </c>
      <c r="B17" s="9" t="s">
        <v>176</v>
      </c>
      <c r="C17" s="9" t="s">
        <v>186</v>
      </c>
      <c r="D17" s="13">
        <v>150</v>
      </c>
      <c r="E17" s="9">
        <v>1</v>
      </c>
      <c r="F17" s="9">
        <v>1</v>
      </c>
      <c r="G17" s="9" t="s">
        <v>21</v>
      </c>
      <c r="H17" s="10" t="s">
        <v>187</v>
      </c>
      <c r="I17" s="10" t="s">
        <v>152</v>
      </c>
    </row>
    <row r="18" spans="1:9" ht="34" customHeight="1">
      <c r="A18" s="9" t="s">
        <v>188</v>
      </c>
      <c r="B18" s="9" t="s">
        <v>176</v>
      </c>
      <c r="C18" s="9" t="s">
        <v>189</v>
      </c>
      <c r="D18" s="13">
        <v>340</v>
      </c>
      <c r="E18" s="9">
        <v>2</v>
      </c>
      <c r="F18" s="9">
        <v>1</v>
      </c>
      <c r="G18" s="9" t="s">
        <v>21</v>
      </c>
      <c r="H18" s="10" t="s">
        <v>190</v>
      </c>
      <c r="I18" s="10" t="s">
        <v>152</v>
      </c>
    </row>
    <row r="19" spans="1:9" ht="34" customHeight="1">
      <c r="A19" s="9" t="s">
        <v>191</v>
      </c>
      <c r="B19" s="9" t="s">
        <v>176</v>
      </c>
      <c r="C19" s="9" t="s">
        <v>192</v>
      </c>
      <c r="D19" s="13">
        <v>430</v>
      </c>
      <c r="E19" s="9">
        <v>2</v>
      </c>
      <c r="F19" s="9">
        <v>3</v>
      </c>
      <c r="G19" s="9" t="s">
        <v>21</v>
      </c>
      <c r="H19" s="10" t="s">
        <v>193</v>
      </c>
      <c r="I19" s="10" t="s">
        <v>194</v>
      </c>
    </row>
    <row r="20" spans="1:9" ht="34" customHeight="1">
      <c r="A20" s="9" t="s">
        <v>195</v>
      </c>
      <c r="B20" s="9" t="s">
        <v>176</v>
      </c>
      <c r="C20" s="9" t="s">
        <v>196</v>
      </c>
      <c r="D20" s="13">
        <v>240</v>
      </c>
      <c r="E20" s="9">
        <v>1</v>
      </c>
      <c r="F20" s="9">
        <v>1</v>
      </c>
      <c r="G20" s="9" t="s">
        <v>191</v>
      </c>
      <c r="H20" s="10" t="s">
        <v>197</v>
      </c>
      <c r="I20" s="10" t="s">
        <v>152</v>
      </c>
    </row>
    <row r="21" spans="1:9" ht="34" customHeight="1">
      <c r="A21" s="9" t="s">
        <v>198</v>
      </c>
      <c r="B21" s="9" t="s">
        <v>176</v>
      </c>
      <c r="C21" s="9" t="s">
        <v>199</v>
      </c>
      <c r="D21" s="13">
        <v>180</v>
      </c>
      <c r="E21" s="9">
        <v>1</v>
      </c>
      <c r="F21" s="9">
        <v>1</v>
      </c>
      <c r="G21" s="9" t="s">
        <v>168</v>
      </c>
      <c r="H21" s="10" t="s">
        <v>200</v>
      </c>
      <c r="I21" s="10" t="s">
        <v>152</v>
      </c>
    </row>
    <row r="22" spans="1:9" ht="34" customHeight="1">
      <c r="A22" s="9" t="s">
        <v>201</v>
      </c>
      <c r="B22" s="9" t="s">
        <v>176</v>
      </c>
      <c r="C22" s="9" t="s">
        <v>202</v>
      </c>
      <c r="D22" s="13">
        <v>120</v>
      </c>
      <c r="E22" s="9">
        <v>1</v>
      </c>
      <c r="F22" s="9">
        <v>1</v>
      </c>
      <c r="G22" s="9" t="s">
        <v>198</v>
      </c>
      <c r="H22" s="10" t="s">
        <v>203</v>
      </c>
      <c r="I22" s="10" t="s">
        <v>162</v>
      </c>
    </row>
    <row r="23" spans="1:9" ht="34" customHeight="1">
      <c r="A23" s="9" t="s">
        <v>204</v>
      </c>
      <c r="B23" s="9" t="s">
        <v>176</v>
      </c>
      <c r="C23" s="9" t="s">
        <v>205</v>
      </c>
      <c r="D23" s="13">
        <v>0</v>
      </c>
      <c r="E23" s="9">
        <v>0</v>
      </c>
      <c r="F23" s="9">
        <v>1</v>
      </c>
      <c r="G23" s="9" t="s">
        <v>21</v>
      </c>
      <c r="H23" s="10" t="s">
        <v>206</v>
      </c>
      <c r="I23" s="10" t="s">
        <v>162</v>
      </c>
    </row>
    <row r="24" spans="1:9" ht="34" customHeight="1">
      <c r="A24" s="9" t="s">
        <v>207</v>
      </c>
      <c r="B24" s="9" t="s">
        <v>208</v>
      </c>
      <c r="C24" s="9" t="s">
        <v>209</v>
      </c>
      <c r="D24" s="13">
        <v>90</v>
      </c>
      <c r="E24" s="9">
        <v>1</v>
      </c>
      <c r="F24" s="9">
        <v>1</v>
      </c>
      <c r="G24" s="9" t="s">
        <v>21</v>
      </c>
      <c r="H24" s="10" t="s">
        <v>210</v>
      </c>
      <c r="I24" s="10" t="s">
        <v>152</v>
      </c>
    </row>
    <row r="25" spans="1:9" ht="34" customHeight="1">
      <c r="A25" s="9" t="s">
        <v>211</v>
      </c>
      <c r="B25" s="9" t="s">
        <v>208</v>
      </c>
      <c r="C25" s="9" t="s">
        <v>212</v>
      </c>
      <c r="D25" s="13">
        <v>130</v>
      </c>
      <c r="E25" s="9">
        <v>1</v>
      </c>
      <c r="F25" s="9">
        <v>1</v>
      </c>
      <c r="G25" s="9" t="s">
        <v>21</v>
      </c>
      <c r="H25" s="10" t="s">
        <v>213</v>
      </c>
      <c r="I25" s="10" t="s">
        <v>152</v>
      </c>
    </row>
    <row r="26" spans="1:9" ht="34" customHeight="1">
      <c r="A26" s="9" t="s">
        <v>214</v>
      </c>
      <c r="B26" s="9" t="s">
        <v>208</v>
      </c>
      <c r="C26" s="9" t="s">
        <v>215</v>
      </c>
      <c r="D26" s="13">
        <v>60</v>
      </c>
      <c r="E26" s="9">
        <v>1</v>
      </c>
      <c r="F26" s="9">
        <v>1</v>
      </c>
      <c r="G26" s="9" t="s">
        <v>21</v>
      </c>
      <c r="H26" s="10" t="s">
        <v>216</v>
      </c>
      <c r="I26" s="10" t="s">
        <v>152</v>
      </c>
    </row>
    <row r="27" spans="1:9" ht="34" customHeight="1">
      <c r="A27" s="9" t="s">
        <v>217</v>
      </c>
      <c r="B27" s="9" t="s">
        <v>208</v>
      </c>
      <c r="C27" s="9" t="s">
        <v>218</v>
      </c>
      <c r="D27" s="13">
        <v>70</v>
      </c>
      <c r="E27" s="9">
        <v>1</v>
      </c>
      <c r="F27" s="9">
        <v>1</v>
      </c>
      <c r="G27" s="9" t="s">
        <v>21</v>
      </c>
      <c r="H27" s="10" t="s">
        <v>219</v>
      </c>
      <c r="I27" s="10" t="s">
        <v>152</v>
      </c>
    </row>
    <row r="28" spans="1:9" ht="34" customHeight="1">
      <c r="A28" s="9" t="s">
        <v>220</v>
      </c>
      <c r="B28" s="9" t="s">
        <v>221</v>
      </c>
      <c r="C28" s="9" t="s">
        <v>222</v>
      </c>
      <c r="D28" s="13">
        <v>260</v>
      </c>
      <c r="E28" s="9">
        <v>2</v>
      </c>
      <c r="F28" s="9">
        <v>1</v>
      </c>
      <c r="G28" s="9" t="s">
        <v>21</v>
      </c>
      <c r="H28" s="10" t="s">
        <v>223</v>
      </c>
      <c r="I28" s="10" t="s">
        <v>152</v>
      </c>
    </row>
    <row r="29" spans="1:9" ht="34" customHeight="1">
      <c r="A29" s="9" t="s">
        <v>224</v>
      </c>
      <c r="B29" s="9" t="s">
        <v>221</v>
      </c>
      <c r="C29" s="9" t="s">
        <v>225</v>
      </c>
      <c r="D29" s="13">
        <v>140</v>
      </c>
      <c r="E29" s="9">
        <v>1</v>
      </c>
      <c r="F29" s="9">
        <v>1</v>
      </c>
      <c r="G29" s="9" t="s">
        <v>21</v>
      </c>
      <c r="H29" s="10" t="s">
        <v>226</v>
      </c>
      <c r="I29" s="10" t="s">
        <v>152</v>
      </c>
    </row>
    <row r="30" spans="1:9" ht="34" customHeight="1">
      <c r="A30" s="9" t="s">
        <v>227</v>
      </c>
      <c r="B30" s="9" t="s">
        <v>228</v>
      </c>
      <c r="C30" s="9" t="s">
        <v>229</v>
      </c>
      <c r="D30" s="13">
        <v>50</v>
      </c>
      <c r="E30" s="9">
        <v>1</v>
      </c>
      <c r="F30" s="9">
        <v>1</v>
      </c>
      <c r="G30" s="9" t="s">
        <v>21</v>
      </c>
      <c r="H30" s="10" t="s">
        <v>230</v>
      </c>
      <c r="I30" s="10" t="s">
        <v>152</v>
      </c>
    </row>
    <row r="31" spans="1:9" ht="34" customHeight="1">
      <c r="A31" s="9" t="s">
        <v>231</v>
      </c>
      <c r="B31" s="9" t="s">
        <v>228</v>
      </c>
      <c r="C31" s="9" t="s">
        <v>232</v>
      </c>
      <c r="D31" s="13">
        <v>60</v>
      </c>
      <c r="E31" s="9">
        <v>1</v>
      </c>
      <c r="F31" s="9">
        <v>1</v>
      </c>
      <c r="G31" s="9" t="s">
        <v>168</v>
      </c>
      <c r="H31" s="10" t="s">
        <v>233</v>
      </c>
      <c r="I31" s="10" t="s">
        <v>152</v>
      </c>
    </row>
    <row r="32" spans="1:9" ht="34" customHeight="1">
      <c r="A32" s="9" t="s">
        <v>234</v>
      </c>
      <c r="B32" s="9" t="s">
        <v>228</v>
      </c>
      <c r="C32" s="9" t="s">
        <v>235</v>
      </c>
      <c r="D32" s="13">
        <v>120</v>
      </c>
      <c r="E32" s="9">
        <v>1</v>
      </c>
      <c r="F32" s="9">
        <v>1</v>
      </c>
      <c r="G32" s="9" t="s">
        <v>21</v>
      </c>
      <c r="H32" s="10" t="s">
        <v>236</v>
      </c>
      <c r="I32" s="10" t="s">
        <v>162</v>
      </c>
    </row>
    <row r="33" spans="1:9" ht="34" customHeight="1">
      <c r="A33" s="9" t="s">
        <v>237</v>
      </c>
      <c r="B33" s="9" t="s">
        <v>228</v>
      </c>
      <c r="C33" s="9" t="s">
        <v>238</v>
      </c>
      <c r="D33" s="13">
        <v>150</v>
      </c>
      <c r="E33" s="9">
        <v>1</v>
      </c>
      <c r="F33" s="9">
        <v>1</v>
      </c>
      <c r="G33" s="9" t="s">
        <v>231</v>
      </c>
      <c r="H33" s="10" t="s">
        <v>239</v>
      </c>
      <c r="I33" s="10" t="s">
        <v>152</v>
      </c>
    </row>
    <row r="34" spans="1:9" ht="34" customHeight="1">
      <c r="A34" s="9" t="s">
        <v>240</v>
      </c>
      <c r="B34" s="9" t="s">
        <v>241</v>
      </c>
      <c r="C34" s="9" t="s">
        <v>242</v>
      </c>
      <c r="D34" s="13">
        <v>200</v>
      </c>
      <c r="E34" s="9">
        <v>1</v>
      </c>
      <c r="F34" s="9">
        <v>1</v>
      </c>
      <c r="G34" s="9" t="s">
        <v>21</v>
      </c>
      <c r="H34" s="10" t="s">
        <v>243</v>
      </c>
      <c r="I34" s="10" t="s">
        <v>162</v>
      </c>
    </row>
    <row r="35" spans="1:9" ht="34" customHeight="1">
      <c r="A35" s="9" t="s">
        <v>244</v>
      </c>
      <c r="B35" s="9" t="s">
        <v>245</v>
      </c>
      <c r="C35" s="9" t="s">
        <v>246</v>
      </c>
      <c r="D35" s="13">
        <v>0</v>
      </c>
      <c r="E35" s="9">
        <v>0</v>
      </c>
      <c r="F35" s="9">
        <v>1</v>
      </c>
      <c r="G35" s="9" t="s">
        <v>21</v>
      </c>
      <c r="H35" s="10" t="s">
        <v>247</v>
      </c>
      <c r="I35" s="10" t="s">
        <v>152</v>
      </c>
    </row>
    <row r="36" spans="1:9" ht="34" customHeight="1">
      <c r="A36" s="9" t="s">
        <v>248</v>
      </c>
      <c r="B36" s="9" t="s">
        <v>245</v>
      </c>
      <c r="C36" s="9" t="s">
        <v>249</v>
      </c>
      <c r="D36" s="13">
        <v>90</v>
      </c>
      <c r="E36" s="9">
        <v>0</v>
      </c>
      <c r="F36" s="9">
        <v>1</v>
      </c>
      <c r="G36" s="9" t="s">
        <v>21</v>
      </c>
      <c r="H36" s="10" t="s">
        <v>250</v>
      </c>
      <c r="I36" s="10" t="s">
        <v>162</v>
      </c>
    </row>
    <row r="37" spans="1:9" ht="34" customHeight="1">
      <c r="A37" s="9" t="s">
        <v>251</v>
      </c>
      <c r="B37" s="9" t="s">
        <v>245</v>
      </c>
      <c r="C37" s="9" t="s">
        <v>252</v>
      </c>
      <c r="D37" s="13">
        <v>0</v>
      </c>
      <c r="E37" s="9">
        <v>0</v>
      </c>
      <c r="F37" s="9">
        <v>1</v>
      </c>
      <c r="G37" s="9" t="s">
        <v>253</v>
      </c>
      <c r="H37" s="10" t="s">
        <v>254</v>
      </c>
      <c r="I37" s="10" t="s">
        <v>162</v>
      </c>
    </row>
  </sheetData>
  <mergeCells count="2">
    <mergeCell ref="A2:I2"/>
    <mergeCell ref="A3:I3"/>
  </mergeCells>
  <phoneticPr fontId="9" type="noConversion"/>
  <conditionalFormatting sqref="I6:I37">
    <cfRule type="containsText" dxfId="1" priority="1" operator="containsText" text="缺失"/>
    <cfRule type="containsText" dxfId="0" priority="2" operator="containsText" text="已进入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待确认项</vt:lpstr>
      <vt:lpstr>项目卡对照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璐 俞</cp:lastModifiedBy>
  <dcterms:modified xsi:type="dcterms:W3CDTF">2026-10-20T03:54:48Z</dcterms:modified>
</cp:coreProperties>
</file>