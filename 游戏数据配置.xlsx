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经营参数" sheetId="2" state="visible" r:id="rId2"/>
    <sheet xmlns:r="http://schemas.openxmlformats.org/officeDocument/2006/relationships" name="项目卡" sheetId="3" state="visible" r:id="rId3"/>
    <sheet xmlns:r="http://schemas.openxmlformats.org/officeDocument/2006/relationships" name="日常行动" sheetId="4" state="visible" r:id="rId4"/>
    <sheet xmlns:r="http://schemas.openxmlformats.org/officeDocument/2006/relationships" name="日常事件" sheetId="5" state="visible" r:id="rId5"/>
    <sheet xmlns:r="http://schemas.openxmlformats.org/officeDocument/2006/relationships" name="季度事件" sheetId="6" state="visible" r:id="rId6"/>
    <sheet xmlns:r="http://schemas.openxmlformats.org/officeDocument/2006/relationships" name="经营时间序列" sheetId="7" state="visible" r:id="rId7"/>
    <sheet xmlns:r="http://schemas.openxmlformats.org/officeDocument/2006/relationships" name="公式规则" sheetId="8" state="visible" r:id="rId8"/>
    <sheet xmlns:r="http://schemas.openxmlformats.org/officeDocument/2006/relationships" name="CG配置" sheetId="9" state="visible" r:id="rId9"/>
    <sheet xmlns:r="http://schemas.openxmlformats.org/officeDocument/2006/relationships" name="结算说明" sheetId="10" state="visible" r:id="rId10"/>
  </sheets>
  <definedNames>
    <definedName name="_xlnm._FilterDatabase" localSheetId="5" hidden="1">'季度事件'!$A$5:$U$86</definedName>
  </definedNames>
</workbook>
</file>

<file path=xl/styles.xml><?xml version="1.0" encoding="utf-8"?>
<styleSheet xmlns="http://schemas.openxmlformats.org/spreadsheetml/2006/main">
  <numFmts count="3">
    <numFmt numFmtId="164" formatCode="0.0000;-0.0000;-"/>
    <numFmt numFmtId="165" formatCode="0.00;-0.00;-"/>
    <numFmt numFmtId="166" formatCode="0.0%"/>
  </numFmts>
  <fonts count="9">
    <font>
      <name val="Carlito"/>
      <sz val="11"/>
    </font>
    <font>
      <name val="Arial"/>
      <b val="1"/>
      <color rgb="FF24352D"/>
      <sz val="15"/>
    </font>
    <font>
      <name val="Arial"/>
      <i val="1"/>
      <color rgb="FF687970"/>
      <sz val="10"/>
    </font>
    <font>
      <name val="Arial"/>
      <b val="1"/>
      <color rgb="FFFFFFFF"/>
      <sz val="10"/>
    </font>
    <font>
      <name val="Arial"/>
      <color rgb="FF24352D"/>
      <sz val="10"/>
    </font>
    <font>
      <name val="Arial"/>
      <color rgb="FF1F4E79"/>
      <sz val="10"/>
    </font>
    <font>
      <name val="Arial"/>
      <sz val="11"/>
    </font>
    <font>
      <name val="Carlito"/>
      <b val="1"/>
      <color rgb="FFFFFFFF"/>
      <sz val="10"/>
    </font>
    <font>
      <name val="Carlito"/>
      <color rgb="FF24352D"/>
      <sz val="10"/>
    </font>
  </fonts>
  <fills count="9">
    <fill>
      <patternFill/>
    </fill>
    <fill>
      <patternFill patternType="gray125"/>
    </fill>
    <fill>
      <patternFill patternType="solid">
        <fgColor rgb="FF355C4A"/>
      </patternFill>
    </fill>
    <fill>
      <patternFill patternType="solid">
        <fgColor rgb="FFFFF1C9"/>
      </patternFill>
    </fill>
    <fill>
      <patternFill patternType="solid">
        <fgColor rgb="FFE8F0EA"/>
      </patternFill>
    </fill>
    <fill>
      <patternFill patternType="solid">
        <fgColor rgb="FF315F4D"/>
      </patternFill>
    </fill>
    <fill>
      <patternFill patternType="solid">
        <fgColor rgb="FFFFF1C9"/>
      </patternFill>
    </fill>
    <fill>
      <patternFill patternType="solid">
        <fgColor rgb="FFF4F7F4"/>
      </patternFill>
    </fill>
    <fill>
      <patternFill patternType="solid">
        <fgColor rgb="00FFF1C9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D7E0DA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1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2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3" fillId="2" borderId="3" pivotButton="0" quotePrefix="0" xfId="0"/>
    <xf numFmtId="0" fontId="3" fillId="2" borderId="3" applyAlignment="1" pivotButton="0" quotePrefix="0" xfId="0">
      <alignment wrapText="1"/>
    </xf>
    <xf numFmtId="0" fontId="3" fillId="2" borderId="3" applyAlignment="1" pivotButton="0" quotePrefix="0" xfId="0">
      <alignment horizontal="center" wrapText="1"/>
    </xf>
    <xf numFmtId="0" fontId="3" fillId="2" borderId="3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 wrapText="1"/>
    </xf>
    <xf numFmtId="165" fontId="4" fillId="3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5" fontId="4" fillId="3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1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/>
    </xf>
    <xf numFmtId="165" fontId="4" fillId="4" borderId="0" applyAlignment="1" pivotButton="0" quotePrefix="0" xfId="0">
      <alignment vertical="center"/>
    </xf>
    <xf numFmtId="165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7" fillId="5" borderId="0" applyAlignment="1" pivotButton="0" quotePrefix="0" xfId="0">
      <alignment horizontal="center" wrapText="1"/>
    </xf>
    <xf numFmtId="0" fontId="7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8" fillId="7" borderId="4" applyAlignment="1" pivotButton="0" quotePrefix="0" xfId="0">
      <alignment vertical="top" wrapText="1"/>
    </xf>
    <xf numFmtId="0" fontId="8" fillId="6" borderId="4" applyAlignment="1" pivotButton="0" quotePrefix="0" xfId="0">
      <alignment vertical="top" wrapText="1"/>
    </xf>
    <xf numFmtId="164" fontId="5" fillId="3" borderId="0" applyAlignment="1" pivotButton="0" quotePrefix="0" xfId="0">
      <alignment vertical="center" wrapText="1"/>
    </xf>
    <xf numFmtId="164" fontId="5" fillId="6" borderId="0" applyAlignment="1" pivotButton="0" quotePrefix="0" xfId="0">
      <alignment vertical="center" wrapText="1"/>
    </xf>
    <xf numFmtId="165" fontId="4" fillId="3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1" fontId="4" fillId="3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165" fontId="4" fillId="4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OperatingParams" displayName="OperatingParams" ref="A5:I60" headerRowCount="1" totalsRowCount="0" totalsRowShown="0">
  <tableColumns count="9">
    <tableColumn id="1" name="分组"/>
    <tableColumn id="2" name="参数ID"/>
    <tableColumn id="3" name="参数名称"/>
    <tableColumn id="4" name="数值"/>
    <tableColumn id="5" name="单位"/>
    <tableColumn id="6" name="月度/计算口径"/>
    <tableColumn id="7" name="来源"/>
    <tableColumn id="8" name="生效时点"/>
    <tableColumn id="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jectCards" displayName="ProjectCards" ref="A5:S38" headerRowCount="1" totalsRowCount="0" totalsRowShown="0">
  <tableColumns count="19">
    <tableColumn id="1" name="分类"/>
    <tableColumn id="2" name="项目ID"/>
    <tableColumn id="3" name="来源ID"/>
    <tableColumn id="4" name="项目名称"/>
    <tableColumn id="5" name="说明"/>
    <tableColumn id="6" name="完整效果"/>
    <tableColumn id="7" name="总成本_万元"/>
    <tableColumn id="8" name="基础完成月数"/>
    <tableColumn id="9" name="基础月均施工支出_万元"/>
    <tableColumn id="10" name="项目类型"/>
    <tableColumn id="11" name="收益释放方式"/>
    <tableColumn id="12" name="每施工月释放比例"/>
    <tableColumn id="13" name="最多完成次数"/>
    <tableColumn id="14" name="前置项目ID"/>
    <tableColumn id="15" name="可重复安排"/>
    <tableColumn id="16" name="是否动态成本"/>
    <tableColumn id="17" name="标签"/>
    <tableColumn id="18" name="启用"/>
    <tableColumn id="19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ilyActions" displayName="DailyActions" ref="A5:I14" headerRowCount="1" totalsRowCount="0" totalsRowShown="0">
  <tableColumns count="9">
    <tableColumn id="1" name="行动ID"/>
    <tableColumn id="2" name="行动名称"/>
    <tableColumn id="3" name="日志文案"/>
    <tableColumn id="4" name="压力变化"/>
    <tableColumn id="5" name="好感变化"/>
    <tableColumn id="6" name="出现权重"/>
    <tableColumn id="7" name="使用场景"/>
    <tableColumn id="8" name="启用"/>
    <tableColumn id="9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ilyEvents" displayName="DailyEvents" ref="A5:O77" headerRowCount="1" totalsRowCount="0" totalsRowShown="0">
  <tableColumns count="15">
    <tableColumn id="1" name="事件ID"/>
    <tableColumn id="2" name="分类"/>
    <tableColumn id="3" name="标题"/>
    <tableColumn id="4" name="正文"/>
    <tableColumn id="5" name="季节条件"/>
    <tableColumn id="6" name="天气条件"/>
    <tableColumn id="7" name="月份条件"/>
    <tableColumn id="8" name="最早年份"/>
    <tableColumn id="9" name="仅第一年"/>
    <tableColumn id="10" name="前置项目ID"/>
    <tableColumn id="11" name="任一前置项目ID"/>
    <tableColumn id="12" name="出现权重"/>
    <tableColumn id="13" name="是否一次性"/>
    <tableColumn id="14" name="启用"/>
    <tableColumn id="15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arterEvents" displayName="QuarterEvents" ref="A5:M17" headerRowCount="1" totalsRowCount="0" totalsRowShown="0">
  <tableColumns count="13">
    <tableColumn id="1" name="事件ID"/>
    <tableColumn id="2" name="标题"/>
    <tableColumn id="3" name="触发条件"/>
    <tableColumn id="4" name="出现权重"/>
    <tableColumn id="5" name="是否一次性"/>
    <tableColumn id="6" name="日志正文"/>
    <tableColumn id="7" name="资金变化_万元"/>
    <tableColumn id="8" name="压力变化"/>
    <tableColumn id="9" name="好感对象ID"/>
    <tableColumn id="10" name="好感变化"/>
    <tableColumn id="11" name="关联项目ID"/>
    <tableColumn id="12" name="启用"/>
    <tableColumn id="13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OperatingDrivers" displayName="MonthlyOperatingDrivers" ref="A5:AE125" headerRowCount="1" totalsRowCount="0" totalsRowShown="0">
  <tableColumns count="31">
    <tableColumn id="1" name="启用"/>
    <tableColumn id="2" name="年月"/>
    <tableColumn id="3" name="产能_万件年"/>
    <tableColumn id="4" name="国内销量_万件月"/>
    <tableColumn id="5" name="国内单价_元件"/>
    <tableColumn id="6" name="大客户销量_万件月"/>
    <tableColumn id="7" name="大客户单价_元件"/>
    <tableColumn id="8" name="出口销量_万件月"/>
    <tableColumn id="9" name="出口单价_元件"/>
    <tableColumn id="10" name="材料单位成本_元件"/>
    <tableColumn id="11" name="变动人工单位成本_元件"/>
    <tableColumn id="12" name="固定人工_万元月"/>
    <tableColumn id="13" name="用电量_万kWh月"/>
    <tableColumn id="14" name="电价_元kWh"/>
    <tableColumn id="15" name="用气量_万m3月"/>
    <tableColumn id="16" name="气价_元m3"/>
    <tableColumn id="17" name="维护费_万元月"/>
    <tableColumn id="18" name="固定经营费_万元月"/>
    <tableColumn id="19" name="融资费_万元月"/>
    <tableColumn id="20" name="所得税率"/>
    <tableColumn id="21" name="上缴比例"/>
    <tableColumn id="22" name="经营收入_万元"/>
    <tableColumn id="23" name="材料成本_万元"/>
    <tableColumn id="24" name="人工成本_万元"/>
    <tableColumn id="25" name="能源成本_万元"/>
    <tableColumn id="26" name="经营总成本_万元"/>
    <tableColumn id="27" name="所得税_万元"/>
    <tableColumn id="28" name="净利润_万元"/>
    <tableColumn id="29" name="上缴集团_万元"/>
    <tableColumn id="30" name="经营现金流_万元"/>
    <tableColumn id="31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ormulaDictionary" displayName="FormulaDictionary" ref="A5:G20" headerRowCount="1" totalsRowCount="0" totalsRowShown="0">
  <tableColumns count="7">
    <tableColumn id="1" name="规则ID"/>
    <tableColumn id="2" name="规则名称"/>
    <tableColumn id="3" name="计算表达式"/>
    <tableColumn id="4" name="游戏字段"/>
    <tableColumn id="5" name="单位"/>
    <tableColumn id="6" name="说明"/>
    <tableColumn id="7" name="公式版本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GConfig" displayName="CGConfig" ref="A5:I15" headerRowCount="1" totalsRowCount="0" totalsRowShown="0">
  <tableColumns count="9">
    <tableColumn id="1" name="CG_ID"/>
    <tableColumn id="2" name="人物ID"/>
    <tableColumn id="3" name="人物名称"/>
    <tableColumn id="4" name="解锁阈值"/>
    <tableColumn id="5" name="CG标题"/>
    <tableColumn id="6" name="CG说明文字"/>
    <tableColumn id="7" name="图片文件名"/>
    <tableColumn id="8" name="启用"/>
    <tableColumn id="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355C4A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 ht="22" customHeight="1">
      <c r="A1" s="40" t="n"/>
      <c r="B1" s="40" t="n"/>
      <c r="C1" s="40" t="n"/>
      <c r="D1" s="40" t="n"/>
      <c r="E1" s="40" t="n"/>
      <c r="F1" s="40" t="n"/>
      <c r="G1" s="40" t="n"/>
      <c r="H1" s="40" t="n"/>
    </row>
    <row r="2" ht="27" customHeight="1">
      <c r="A2" s="18" t="inlineStr">
        <is>
          <t>《把工厂变绿》游戏数据配置</t>
        </is>
      </c>
    </row>
    <row r="3" ht="27" customHeight="1">
      <c r="A3" s="3" t="inlineStr">
        <is>
          <t>管理员编辑黄色输入单元格后，运行游戏包中的“管理员更新游戏配置.command”。玩家页面不显示配置入口。</t>
        </is>
      </c>
    </row>
    <row r="4" ht="22" customHeight="1">
      <c r="A4" s="40" t="n"/>
      <c r="B4" s="40" t="n"/>
      <c r="C4" s="40" t="n"/>
      <c r="D4" s="40" t="n"/>
      <c r="E4" s="40" t="n"/>
      <c r="F4" s="40" t="n"/>
      <c r="G4" s="40" t="n"/>
      <c r="H4" s="40" t="n"/>
    </row>
    <row r="5" ht="22" customHeight="1">
      <c r="A5" s="12" t="inlineStr">
        <is>
          <t>步骤</t>
        </is>
      </c>
      <c r="B5" s="13" t="inlineStr">
        <is>
          <t>操作</t>
        </is>
      </c>
      <c r="C5" s="40" t="n"/>
      <c r="D5" s="40" t="n"/>
      <c r="E5" s="40" t="n"/>
      <c r="F5" s="40" t="n"/>
      <c r="G5" s="40" t="n"/>
      <c r="H5" s="40" t="n"/>
    </row>
    <row r="6" ht="22" customHeight="1">
      <c r="A6" s="19" t="inlineStr">
        <is>
          <t>1</t>
        </is>
      </c>
      <c r="B6" s="20" t="inlineStr">
        <is>
          <t>只修改黄色输入格；灰白字段是游戏结构和公式说明，更新工具不会把它们作为可改配置写入游戏。</t>
        </is>
      </c>
      <c r="C6" s="40" t="n"/>
      <c r="D6" s="40" t="n"/>
      <c r="E6" s="40" t="n"/>
      <c r="F6" s="40" t="n"/>
      <c r="G6" s="40" t="n"/>
      <c r="H6" s="40" t="n"/>
    </row>
    <row r="7" ht="22" customHeight="1">
      <c r="A7" s="19" t="inlineStr">
        <is>
          <t>2</t>
        </is>
      </c>
      <c r="B7" s="20" t="inlineStr">
        <is>
          <t>保存 Excel；双击游戏包中的“管理员更新游戏配置.command”。</t>
        </is>
      </c>
      <c r="C7" s="40" t="n"/>
      <c r="D7" s="40" t="n"/>
      <c r="E7" s="40" t="n"/>
      <c r="F7" s="40" t="n"/>
      <c r="G7" s="40" t="n"/>
      <c r="H7" s="40" t="n"/>
    </row>
    <row r="8" ht="22" customHeight="1">
      <c r="A8" s="19" t="inlineStr">
        <is>
          <t>3</t>
        </is>
      </c>
      <c r="B8" s="20" t="inlineStr">
        <is>
          <t>更新工具会生成 config/game-config.js；再打开 index.html 即可使用新配置。</t>
        </is>
      </c>
      <c r="C8" s="40" t="n"/>
      <c r="D8" s="40" t="n"/>
      <c r="E8" s="40" t="n"/>
      <c r="F8" s="40" t="n"/>
      <c r="G8" s="40" t="n"/>
      <c r="H8" s="40" t="n"/>
    </row>
    <row r="9" ht="22" customHeight="1">
      <c r="A9" s="19" t="inlineStr">
        <is>
          <t>4</t>
        </is>
      </c>
      <c r="B9" s="20" t="inlineStr">
        <is>
          <t>标记为“重置后生效”的初始值，需要在玩家页面重置演示数据。</t>
        </is>
      </c>
      <c r="C9" s="40" t="n"/>
      <c r="D9" s="40" t="n"/>
      <c r="E9" s="40" t="n"/>
      <c r="F9" s="40" t="n"/>
      <c r="G9" s="40" t="n"/>
      <c r="H9" s="40" t="n"/>
    </row>
    <row r="10" ht="22" customHeight="1">
      <c r="A10" s="19" t="inlineStr">
        <is>
          <t>5</t>
        </is>
      </c>
      <c r="B10" s="20" t="inlineStr">
        <is>
          <t>CG 文案和图片文件名在“CG配置”维护；图片文件仍单独放在 cg/images 文件夹。</t>
        </is>
      </c>
      <c r="C10" s="40" t="n"/>
      <c r="D10" s="40" t="n"/>
      <c r="E10" s="40" t="n"/>
      <c r="F10" s="40" t="n"/>
      <c r="G10" s="40" t="n"/>
      <c r="H10" s="40" t="n"/>
    </row>
    <row r="11" ht="22" customHeight="1">
      <c r="A11" s="19" t="inlineStr">
        <is>
          <t>6</t>
        </is>
      </c>
      <c r="B11" s="20" t="inlineStr">
        <is>
          <t>不要改动参数ID、项目ID、行动ID、事件ID、公式规则和表头。日常事件文本、条件和权重可直接维护。</t>
        </is>
      </c>
      <c r="C11" s="40" t="n"/>
      <c r="D11" s="40" t="n"/>
      <c r="E11" s="40" t="n"/>
      <c r="F11" s="40" t="n"/>
      <c r="G11" s="40" t="n"/>
      <c r="H11" s="40" t="n"/>
    </row>
    <row r="12" ht="22" customHeight="1">
      <c r="A12" s="40" t="n"/>
      <c r="B12" s="40" t="n"/>
      <c r="C12" s="40" t="n"/>
      <c r="D12" s="40" t="n"/>
      <c r="E12" s="40" t="n"/>
      <c r="F12" s="40" t="n"/>
      <c r="G12" s="40" t="n"/>
      <c r="H12" s="40" t="n"/>
    </row>
    <row r="13" ht="22" customHeight="1">
      <c r="A13" s="12" t="inlineStr">
        <is>
          <t>关键口径</t>
        </is>
      </c>
      <c r="B13" s="13" t="inlineStr">
        <is>
          <t>确认结果</t>
        </is>
      </c>
      <c r="C13" s="40" t="n"/>
      <c r="D13" s="40" t="n"/>
      <c r="E13" s="40" t="n"/>
      <c r="F13" s="40" t="n"/>
      <c r="G13" s="40" t="n"/>
      <c r="H13" s="40" t="n"/>
    </row>
    <row r="14" ht="22" customHeight="1">
      <c r="A14" s="20" t="inlineStr">
        <is>
          <t>招聘工程师人工成本</t>
        </is>
      </c>
      <c r="B14" s="20" t="inlineStr">
        <is>
          <t>38 万/人/年，不是 38 万/人/月。</t>
        </is>
      </c>
      <c r="C14" s="40" t="n"/>
      <c r="D14" s="40" t="n"/>
      <c r="E14" s="40" t="n"/>
      <c r="F14" s="40" t="n"/>
      <c r="G14" s="40" t="n"/>
      <c r="H14" s="40" t="n"/>
    </row>
    <row r="15" ht="22" customHeight="1">
      <c r="A15" s="20" t="inlineStr">
        <is>
          <t>招聘工程师月度成本</t>
        </is>
      </c>
      <c r="B15" s="20" t="inlineStr">
        <is>
          <t>38 ÷ 12 = 3.1667 万/人/月，进入月度经营成本。</t>
        </is>
      </c>
      <c r="C15" s="40" t="n"/>
      <c r="D15" s="40" t="n"/>
      <c r="E15" s="40" t="n"/>
      <c r="F15" s="40" t="n"/>
      <c r="G15" s="40" t="n"/>
      <c r="H15" s="40" t="n"/>
    </row>
    <row r="16" ht="22" customHeight="1">
      <c r="A16" s="20" t="inlineStr">
        <is>
          <t>项目支出</t>
        </is>
      </c>
      <c r="B16" s="20" t="inlineStr">
        <is>
          <t>项目总成本 ÷ 实际完成月数；项目卡直接维护完成月数。</t>
        </is>
      </c>
      <c r="C16" s="40" t="n"/>
      <c r="D16" s="40" t="n"/>
      <c r="E16" s="40" t="n"/>
      <c r="F16" s="40" t="n"/>
      <c r="G16" s="40" t="n"/>
      <c r="H16" s="40" t="n"/>
    </row>
    <row r="17" ht="22" customHeight="1">
      <c r="A17" s="20" t="inlineStr">
        <is>
          <t>经营现金流</t>
        </is>
      </c>
      <c r="B17" s="20" t="inlineStr">
        <is>
          <t>先按原 HTML 年度损益公式计算，再除以 12 得到月度值。</t>
        </is>
      </c>
      <c r="C17" s="40" t="n"/>
      <c r="D17" s="40" t="n"/>
      <c r="E17" s="40" t="n"/>
      <c r="F17" s="40" t="n"/>
      <c r="G17" s="40" t="n"/>
      <c r="H17" s="40" t="n"/>
    </row>
    <row r="18" ht="22" customHeight="1">
      <c r="A18" s="20" t="inlineStr">
        <is>
          <t>绿色信贷</t>
        </is>
      </c>
      <c r="B18" s="20" t="inlineStr">
        <is>
          <t>放款增加现金并形成同额欠款；本金按贷款年限逐月减少，还本付息进入融资费用。</t>
        </is>
      </c>
      <c r="C18" s="40" t="n"/>
      <c r="D18" s="40" t="n"/>
      <c r="E18" s="40" t="n"/>
      <c r="F18" s="40" t="n"/>
      <c r="G18" s="40" t="n"/>
      <c r="H18" s="40" t="n"/>
    </row>
    <row r="19" ht="22" customHeight="1">
      <c r="A19" s="40" t="n"/>
      <c r="B19" s="40" t="n"/>
      <c r="C19" s="40" t="n"/>
      <c r="D19" s="40" t="n"/>
      <c r="E19" s="40" t="n"/>
      <c r="F19" s="40" t="n"/>
      <c r="G19" s="40" t="n"/>
      <c r="H19" s="40" t="n"/>
    </row>
    <row r="20" ht="22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</row>
  </sheetData>
  <mergeCells count="2">
    <mergeCell ref="A3:H3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668873"/>
    <outlinePr summaryBelow="1" summaryRight="1"/>
    <pageSetUpPr/>
  </sheetPr>
  <dimension ref="A1:I61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4" customWidth="1" min="4" max="4"/>
    <col width="16" customWidth="1" min="5" max="5"/>
    <col width="28" customWidth="1" min="6" max="6"/>
    <col width="28" customWidth="1" min="7" max="7"/>
    <col width="16" customWidth="1" min="8" max="8"/>
    <col width="24" customWidth="1" min="9" max="9"/>
  </cols>
  <sheetData>
    <row r="1"/>
    <row r="2">
      <c r="A2" s="1" t="inlineStr">
        <is>
          <t>经营参数</t>
        </is>
      </c>
    </row>
    <row r="3">
      <c r="A3" s="3" t="inlineStr">
        <is>
          <t>黄色为可编辑数值；参数ID供游戏识别，请勿修改。年值在游戏中按原公式计算，再换算为月度。</t>
        </is>
      </c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</row>
    <row r="5">
      <c r="A5" s="12" t="inlineStr">
        <is>
          <t>分组</t>
        </is>
      </c>
      <c r="B5" s="24" t="inlineStr">
        <is>
          <t>参数ID</t>
        </is>
      </c>
      <c r="C5" s="24" t="inlineStr">
        <is>
          <t>参数名称</t>
        </is>
      </c>
      <c r="D5" s="24" t="inlineStr">
        <is>
          <t>数值</t>
        </is>
      </c>
      <c r="E5" s="24" t="inlineStr">
        <is>
          <t>单位</t>
        </is>
      </c>
      <c r="F5" s="24" t="inlineStr">
        <is>
          <t>月度/计算口径</t>
        </is>
      </c>
      <c r="G5" s="24" t="inlineStr">
        <is>
          <t>来源</t>
        </is>
      </c>
      <c r="H5" s="24" t="inlineStr">
        <is>
          <t>生效时点</t>
        </is>
      </c>
      <c r="I5" s="13" t="inlineStr">
        <is>
          <t>备注</t>
        </is>
      </c>
    </row>
    <row r="6">
      <c r="A6" s="20" t="inlineStr">
        <is>
          <t>初始状态</t>
        </is>
      </c>
      <c r="B6" s="20" t="inlineStr">
        <is>
          <t>startFund</t>
        </is>
      </c>
      <c r="C6" s="20" t="inlineStr">
        <is>
          <t>初始现金</t>
        </is>
      </c>
      <c r="D6" s="61" t="n">
        <v>520</v>
      </c>
      <c r="E6" s="20" t="inlineStr">
        <is>
          <t>万元</t>
        </is>
      </c>
      <c r="F6" s="20" t="inlineStr">
        <is>
          <t>不换算</t>
        </is>
      </c>
      <c r="G6" s="20" t="inlineStr">
        <is>
          <t>当前原型 defaultState</t>
        </is>
      </c>
      <c r="H6" s="20" t="inlineStr">
        <is>
          <t>重置后生效</t>
        </is>
      </c>
      <c r="I6" s="20" t="str"/>
    </row>
    <row r="7">
      <c r="A7" s="20" t="inlineStr">
        <is>
          <t>初始状态</t>
        </is>
      </c>
      <c r="B7" s="20" t="inlineStr">
        <is>
          <t>startCapacity</t>
        </is>
      </c>
      <c r="C7" s="20" t="inlineStr">
        <is>
          <t>初始产能</t>
        </is>
      </c>
      <c r="D7" s="61" t="n">
        <v>120</v>
      </c>
      <c r="E7" s="20" t="inlineStr">
        <is>
          <t>万件/年</t>
        </is>
      </c>
      <c r="F7" s="20" t="inlineStr">
        <is>
          <t>不换算</t>
        </is>
      </c>
      <c r="G7" s="20" t="inlineStr">
        <is>
          <t>当前原型 defaultState</t>
        </is>
      </c>
      <c r="H7" s="20" t="inlineStr">
        <is>
          <t>重置后生效</t>
        </is>
      </c>
      <c r="I7" s="20" t="str"/>
    </row>
    <row r="8">
      <c r="A8" s="20" t="inlineStr">
        <is>
          <t>初始状态</t>
        </is>
      </c>
      <c r="B8" s="20" t="inlineStr">
        <is>
          <t>startStress</t>
        </is>
      </c>
      <c r="C8" s="20" t="inlineStr">
        <is>
          <t>初始厂长压力</t>
        </is>
      </c>
      <c r="D8" s="61" t="n">
        <v>20</v>
      </c>
      <c r="E8" s="20" t="inlineStr">
        <is>
          <t>0-100</t>
        </is>
      </c>
      <c r="F8" s="20" t="inlineStr">
        <is>
          <t>不换算</t>
        </is>
      </c>
      <c r="G8" s="20" t="inlineStr">
        <is>
          <t>当前原型 defaultState</t>
        </is>
      </c>
      <c r="H8" s="20" t="inlineStr">
        <is>
          <t>重置后生效</t>
        </is>
      </c>
      <c r="I8" s="20" t="str"/>
    </row>
    <row r="9">
      <c r="A9" s="20" t="inlineStr">
        <is>
          <t>节奏规则</t>
        </is>
      </c>
      <c r="B9" s="20" t="inlineStr">
        <is>
          <t>freeActionsPerQuarter</t>
        </is>
      </c>
      <c r="C9" s="20" t="inlineStr">
        <is>
          <t>每季度自由行动次数</t>
        </is>
      </c>
      <c r="D9" s="61" t="n">
        <v>3</v>
      </c>
      <c r="E9" s="20" t="inlineStr">
        <is>
          <t>次/季度</t>
        </is>
      </c>
      <c r="F9" s="20" t="inlineStr">
        <is>
          <t>不换算</t>
        </is>
      </c>
      <c r="G9" s="20" t="inlineStr">
        <is>
          <t>用户确认规则</t>
        </is>
      </c>
      <c r="H9" s="20" t="inlineStr">
        <is>
          <t>立即生效</t>
        </is>
      </c>
      <c r="I9" s="20" t="str"/>
    </row>
    <row r="10">
      <c r="A10" s="20" t="inlineStr">
        <is>
          <t>压力规则</t>
        </is>
      </c>
      <c r="B10" s="20" t="inlineStr">
        <is>
          <t>idleStress</t>
        </is>
      </c>
      <c r="C10" s="20" t="inlineStr">
        <is>
          <t>摸鱼/空过压力变化</t>
        </is>
      </c>
      <c r="D10" s="61" t="n">
        <v>-10</v>
      </c>
      <c r="E10" s="20" t="inlineStr">
        <is>
          <t>点/月</t>
        </is>
      </c>
      <c r="F10" s="20" t="inlineStr">
        <is>
          <t>不换算</t>
        </is>
      </c>
      <c r="G10" s="20" t="inlineStr">
        <is>
          <t>当前原型规则</t>
        </is>
      </c>
      <c r="H10" s="20" t="inlineStr">
        <is>
          <t>立即生效</t>
        </is>
      </c>
      <c r="I10" s="20" t="str"/>
    </row>
    <row r="11">
      <c r="A11" s="20" t="inlineStr">
        <is>
          <t>压力规则</t>
        </is>
      </c>
      <c r="B11" s="20" t="inlineStr">
        <is>
          <t>quarterProjectStress</t>
        </is>
      </c>
      <c r="C11" s="20" t="inlineStr">
        <is>
          <t>季度项目压力</t>
        </is>
      </c>
      <c r="D11" s="61" t="n">
        <v>5</v>
      </c>
      <c r="E11" s="20" t="inlineStr">
        <is>
          <t>点/季度</t>
        </is>
      </c>
      <c r="F11" s="20" t="inlineStr">
        <is>
          <t>不换算</t>
        </is>
      </c>
      <c r="G11" s="20" t="inlineStr">
        <is>
          <t>用户确认规则</t>
        </is>
      </c>
      <c r="H11" s="20" t="inlineStr">
        <is>
          <t>立即生效</t>
        </is>
      </c>
      <c r="I11" s="20" t="str"/>
    </row>
    <row r="12">
      <c r="A12" s="20" t="inlineStr">
        <is>
          <t>压力规则</t>
        </is>
      </c>
      <c r="B12" s="20" t="inlineStr">
        <is>
          <t>quarterHolidayStress</t>
        </is>
      </c>
      <c r="C12" s="20" t="inlineStr">
        <is>
          <t>季度小长假压力变化</t>
        </is>
      </c>
      <c r="D12" s="61" t="n">
        <v>-15</v>
      </c>
      <c r="E12" s="20" t="inlineStr">
        <is>
          <t>点/季度</t>
        </is>
      </c>
      <c r="F12" s="20" t="inlineStr">
        <is>
          <t>不换算</t>
        </is>
      </c>
      <c r="G12" s="20" t="inlineStr">
        <is>
          <t>用户确认规则</t>
        </is>
      </c>
      <c r="H12" s="20" t="inlineStr">
        <is>
          <t>立即生效</t>
        </is>
      </c>
      <c r="I12" s="20" t="str"/>
    </row>
    <row r="13">
      <c r="A13" s="20" t="inlineStr">
        <is>
          <t>日常事件</t>
        </is>
      </c>
      <c r="B13" s="20" t="inlineStr">
        <is>
          <t>dailyQuarterNoneRate</t>
        </is>
      </c>
      <c r="C13" s="20" t="inlineStr">
        <is>
          <t>每季度不出现日常事件的权重</t>
        </is>
      </c>
      <c r="D13" s="61" t="n">
        <v>20</v>
      </c>
      <c r="E13" s="20" t="inlineStr">
        <is>
          <t>相对权重</t>
        </is>
      </c>
      <c r="F13" s="20" t="inlineStr">
        <is>
          <t>与一条/两条权重共同抽取</t>
        </is>
      </c>
      <c r="G13" s="20" t="inlineStr">
        <is>
          <t>本轮建议值</t>
        </is>
      </c>
      <c r="H13" s="20" t="inlineStr">
        <is>
          <t>立即生效</t>
        </is>
      </c>
      <c r="I13" s="20" t="inlineStr">
        <is>
          <t>20:65:15 对应平均每季度 0.95 条</t>
        </is>
      </c>
    </row>
    <row r="14">
      <c r="A14" s="20" t="inlineStr">
        <is>
          <t>日常事件</t>
        </is>
      </c>
      <c r="B14" s="20" t="inlineStr">
        <is>
          <t>dailyQuarterOneRate</t>
        </is>
      </c>
      <c r="C14" s="20" t="inlineStr">
        <is>
          <t>每季度出现1条日常事件的权重</t>
        </is>
      </c>
      <c r="D14" s="61" t="n">
        <v>65</v>
      </c>
      <c r="E14" s="20" t="inlineStr">
        <is>
          <t>相对权重</t>
        </is>
      </c>
      <c r="F14" s="20" t="inlineStr">
        <is>
          <t>与零条/两条权重共同抽取</t>
        </is>
      </c>
      <c r="G14" s="20" t="inlineStr">
        <is>
          <t>本轮建议值</t>
        </is>
      </c>
      <c r="H14" s="20" t="inlineStr">
        <is>
          <t>立即生效</t>
        </is>
      </c>
      <c r="I14" s="20" t="inlineStr">
        <is>
          <t>先抽季度条数，再分配到不同月份</t>
        </is>
      </c>
    </row>
    <row r="15">
      <c r="A15" s="20" t="inlineStr">
        <is>
          <t>日常事件</t>
        </is>
      </c>
      <c r="B15" s="20" t="inlineStr">
        <is>
          <t>dailyQuarterTwoRate</t>
        </is>
      </c>
      <c r="C15" s="20" t="inlineStr">
        <is>
          <t>每季度出现2条日常事件的权重</t>
        </is>
      </c>
      <c r="D15" s="61" t="n">
        <v>15</v>
      </c>
      <c r="E15" s="20" t="inlineStr">
        <is>
          <t>相对权重</t>
        </is>
      </c>
      <c r="F15" s="20" t="inlineStr">
        <is>
          <t>与零条/一条权重共同抽取</t>
        </is>
      </c>
      <c r="G15" s="20" t="inlineStr">
        <is>
          <t>本轮建议值</t>
        </is>
      </c>
      <c r="H15" s="20" t="inlineStr">
        <is>
          <t>立即生效</t>
        </is>
      </c>
      <c r="I15" s="20" t="inlineStr">
        <is>
          <t>同一月份最多一条</t>
        </is>
      </c>
    </row>
    <row r="16">
      <c r="A16" s="20" t="inlineStr">
        <is>
          <t>日常事件</t>
        </is>
      </c>
      <c r="B16" s="20" t="inlineStr">
        <is>
          <t>rainSpring</t>
        </is>
      </c>
      <c r="C16" s="20" t="inlineStr">
        <is>
          <t>春季月份雨天/雨后条件命中率</t>
        </is>
      </c>
      <c r="D16" s="61" t="n">
        <v>0.35</v>
      </c>
      <c r="E16" s="20" t="inlineStr">
        <is>
          <t>概率</t>
        </is>
      </c>
      <c r="F16" s="20" t="inlineStr">
        <is>
          <t>0-1</t>
        </is>
      </c>
      <c r="G16" s="20" t="inlineStr">
        <is>
          <t>本轮建议值</t>
        </is>
      </c>
      <c r="H16" s="20" t="inlineStr">
        <is>
          <t>立即生效</t>
        </is>
      </c>
      <c r="I16" s="20" t="str"/>
    </row>
    <row r="17">
      <c r="A17" s="20" t="inlineStr">
        <is>
          <t>日常事件</t>
        </is>
      </c>
      <c r="B17" s="20" t="inlineStr">
        <is>
          <t>rainSummer</t>
        </is>
      </c>
      <c r="C17" s="20" t="inlineStr">
        <is>
          <t>夏季月份雨天/雨后条件命中率</t>
        </is>
      </c>
      <c r="D17" s="61" t="n">
        <v>0.45</v>
      </c>
      <c r="E17" s="20" t="inlineStr">
        <is>
          <t>概率</t>
        </is>
      </c>
      <c r="F17" s="20" t="inlineStr">
        <is>
          <t>0-1</t>
        </is>
      </c>
      <c r="G17" s="20" t="inlineStr">
        <is>
          <t>本轮建议值</t>
        </is>
      </c>
      <c r="H17" s="20" t="inlineStr">
        <is>
          <t>立即生效</t>
        </is>
      </c>
      <c r="I17" s="20" t="str"/>
    </row>
    <row r="18">
      <c r="A18" s="20" t="inlineStr">
        <is>
          <t>日常事件</t>
        </is>
      </c>
      <c r="B18" s="20" t="inlineStr">
        <is>
          <t>rainAutumn</t>
        </is>
      </c>
      <c r="C18" s="20" t="inlineStr">
        <is>
          <t>秋季月份雨天/雨后条件命中率</t>
        </is>
      </c>
      <c r="D18" s="61" t="n">
        <v>0.25</v>
      </c>
      <c r="E18" s="20" t="inlineStr">
        <is>
          <t>概率</t>
        </is>
      </c>
      <c r="F18" s="20" t="inlineStr">
        <is>
          <t>0-1</t>
        </is>
      </c>
      <c r="G18" s="20" t="inlineStr">
        <is>
          <t>本轮建议值</t>
        </is>
      </c>
      <c r="H18" s="20" t="inlineStr">
        <is>
          <t>立即生效</t>
        </is>
      </c>
      <c r="I18" s="20" t="str"/>
    </row>
    <row r="19">
      <c r="A19" s="20" t="inlineStr">
        <is>
          <t>日常事件</t>
        </is>
      </c>
      <c r="B19" s="20" t="inlineStr">
        <is>
          <t>rainWinter</t>
        </is>
      </c>
      <c r="C19" s="20" t="inlineStr">
        <is>
          <t>冬季月份雨天/雨后条件命中率</t>
        </is>
      </c>
      <c r="D19" s="61" t="n">
        <v>0.15</v>
      </c>
      <c r="E19" s="20" t="inlineStr">
        <is>
          <t>概率</t>
        </is>
      </c>
      <c r="F19" s="20" t="inlineStr">
        <is>
          <t>0-1</t>
        </is>
      </c>
      <c r="G19" s="20" t="inlineStr">
        <is>
          <t>本轮建议值</t>
        </is>
      </c>
      <c r="H19" s="20" t="inlineStr">
        <is>
          <t>立即生效</t>
        </is>
      </c>
      <c r="I19" s="20" t="str"/>
    </row>
    <row r="20">
      <c r="A20" s="20" t="inlineStr">
        <is>
          <t>经营损益</t>
        </is>
      </c>
      <c r="B20" s="20" t="inlineStr">
        <is>
          <t>matCost</t>
        </is>
      </c>
      <c r="C20" s="20" t="inlineStr">
        <is>
          <t>单位材料成本</t>
        </is>
      </c>
      <c r="D20" s="61" t="n">
        <v>44</v>
      </c>
      <c r="E20" s="20" t="inlineStr">
        <is>
          <t>元/件</t>
        </is>
      </c>
      <c r="F20" s="20" t="inlineStr">
        <is>
          <t>随产量计入年度成本</t>
        </is>
      </c>
      <c r="G20" s="20" t="inlineStr">
        <is>
          <t>用户提供 HTML cashCFG</t>
        </is>
      </c>
      <c r="H20" s="20" t="inlineStr">
        <is>
          <t>立即生效</t>
        </is>
      </c>
      <c r="I20" s="20" t="str"/>
    </row>
    <row r="21">
      <c r="A21" s="20" t="inlineStr">
        <is>
          <t>经营损益</t>
        </is>
      </c>
      <c r="B21" s="20" t="inlineStr">
        <is>
          <t>laborFix</t>
        </is>
      </c>
      <c r="C21" s="20" t="inlineStr">
        <is>
          <t>固定人工成本</t>
        </is>
      </c>
      <c r="D21" s="61" t="n">
        <v>900</v>
      </c>
      <c r="E21" s="20" t="inlineStr">
        <is>
          <t>万元/年</t>
        </is>
      </c>
      <c r="F21" s="20" t="inlineStr">
        <is>
          <t>÷12</t>
        </is>
      </c>
      <c r="G21" s="20" t="inlineStr">
        <is>
          <t>用户提供 HTML cashCFG</t>
        </is>
      </c>
      <c r="H21" s="20" t="inlineStr">
        <is>
          <t>立即生效</t>
        </is>
      </c>
      <c r="I21" s="20" t="str"/>
    </row>
    <row r="22">
      <c r="A22" s="20" t="inlineStr">
        <is>
          <t>经营损益</t>
        </is>
      </c>
      <c r="B22" s="20" t="inlineStr">
        <is>
          <t>laborVar</t>
        </is>
      </c>
      <c r="C22" s="20" t="inlineStr">
        <is>
          <t>单位变动人工成本</t>
        </is>
      </c>
      <c r="D22" s="61" t="n">
        <v>5.5</v>
      </c>
      <c r="E22" s="20" t="inlineStr">
        <is>
          <t>元/件</t>
        </is>
      </c>
      <c r="F22" s="20" t="inlineStr">
        <is>
          <t>随产量计入年度成本</t>
        </is>
      </c>
      <c r="G22" s="20" t="inlineStr">
        <is>
          <t>用户提供 HTML cashCFG</t>
        </is>
      </c>
      <c r="H22" s="20" t="inlineStr">
        <is>
          <t>立即生效</t>
        </is>
      </c>
      <c r="I22" s="20" t="str"/>
    </row>
    <row r="23">
      <c r="A23" s="20" t="inlineStr">
        <is>
          <t>经营损益</t>
        </is>
      </c>
      <c r="B23" s="20" t="inlineStr">
        <is>
          <t>hireSalary</t>
        </is>
      </c>
      <c r="C23" s="20" t="inlineStr">
        <is>
          <t>每名工程师新增人工成本</t>
        </is>
      </c>
      <c r="D23" s="61" t="n">
        <v>38</v>
      </c>
      <c r="E23" s="20" t="inlineStr">
        <is>
          <t>万元/人/年</t>
        </is>
      </c>
      <c r="F23" s="20" t="inlineStr">
        <is>
          <t>÷12</t>
        </is>
      </c>
      <c r="G23" s="20" t="inlineStr">
        <is>
          <t>用户提供 HTML cashCFG</t>
        </is>
      </c>
      <c r="H23" s="20" t="inlineStr">
        <is>
          <t>立即生效</t>
        </is>
      </c>
      <c r="I23" s="20" t="str"/>
    </row>
    <row r="24">
      <c r="A24" s="20" t="inlineStr">
        <is>
          <t>经营损益</t>
        </is>
      </c>
      <c r="B24" s="20" t="inlineStr">
        <is>
          <t>fixCost</t>
        </is>
      </c>
      <c r="C24" s="20" t="inlineStr">
        <is>
          <t>固定经营费用</t>
        </is>
      </c>
      <c r="D24" s="61" t="n">
        <v>500</v>
      </c>
      <c r="E24" s="20" t="inlineStr">
        <is>
          <t>万元/年</t>
        </is>
      </c>
      <c r="F24" s="20" t="inlineStr">
        <is>
          <t>÷12</t>
        </is>
      </c>
      <c r="G24" s="20" t="inlineStr">
        <is>
          <t>用户提供 HTML cashCFG</t>
        </is>
      </c>
      <c r="H24" s="20" t="inlineStr">
        <is>
          <t>立即生效</t>
        </is>
      </c>
      <c r="I24" s="20" t="str"/>
    </row>
    <row r="25">
      <c r="A25" s="20" t="inlineStr">
        <is>
          <t>经营损益</t>
        </is>
      </c>
      <c r="B25" s="20" t="inlineStr">
        <is>
          <t>maintBase</t>
        </is>
      </c>
      <c r="C25" s="20" t="inlineStr">
        <is>
          <t>基础维护费用</t>
        </is>
      </c>
      <c r="D25" s="61" t="n">
        <v>400</v>
      </c>
      <c r="E25" s="20" t="inlineStr">
        <is>
          <t>万元/年</t>
        </is>
      </c>
      <c r="F25" s="20" t="inlineStr">
        <is>
          <t>÷12</t>
        </is>
      </c>
      <c r="G25" s="20" t="inlineStr">
        <is>
          <t>用户提供 HTML cashCFG</t>
        </is>
      </c>
      <c r="H25" s="20" t="inlineStr">
        <is>
          <t>立即生效</t>
        </is>
      </c>
      <c r="I25" s="20" t="str"/>
    </row>
    <row r="26">
      <c r="A26" s="20" t="inlineStr">
        <is>
          <t>经营损益</t>
        </is>
      </c>
      <c r="B26" s="20" t="inlineStr">
        <is>
          <t>taxRate</t>
        </is>
      </c>
      <c r="C26" s="20" t="inlineStr">
        <is>
          <t>所得税率</t>
        </is>
      </c>
      <c r="D26" s="61" t="n">
        <v>0.25</v>
      </c>
      <c r="E26" s="20" t="inlineStr">
        <is>
          <t>比例</t>
        </is>
      </c>
      <c r="F26" s="20" t="inlineStr">
        <is>
          <t>按年度税前利润计算</t>
        </is>
      </c>
      <c r="G26" s="20" t="inlineStr">
        <is>
          <t>用户提供 HTML cashCFG</t>
        </is>
      </c>
      <c r="H26" s="20" t="inlineStr">
        <is>
          <t>立即生效</t>
        </is>
      </c>
      <c r="I26" s="20" t="str"/>
    </row>
    <row r="27">
      <c r="A27" s="20" t="inlineStr">
        <is>
          <t>经营损益</t>
        </is>
      </c>
      <c r="B27" s="20" t="inlineStr">
        <is>
          <t>payout</t>
        </is>
      </c>
      <c r="C27" s="20" t="inlineStr">
        <is>
          <t>盈利上缴比例</t>
        </is>
      </c>
      <c r="D27" s="61" t="n">
        <v>0.4</v>
      </c>
      <c r="E27" s="20" t="inlineStr">
        <is>
          <t>比例</t>
        </is>
      </c>
      <c r="F27" s="20" t="inlineStr">
        <is>
          <t>按年度净利润计算</t>
        </is>
      </c>
      <c r="G27" s="20" t="inlineStr">
        <is>
          <t>用户提供 HTML cashCFG</t>
        </is>
      </c>
      <c r="H27" s="20" t="inlineStr">
        <is>
          <t>立即生效</t>
        </is>
      </c>
      <c r="I27" s="20" t="str"/>
    </row>
    <row r="28">
      <c r="A28" s="20" t="inlineStr">
        <is>
          <t>经营损益</t>
        </is>
      </c>
      <c r="B28" s="20" t="inlineStr">
        <is>
          <t>loanRate</t>
        </is>
      </c>
      <c r="C28" s="20" t="inlineStr">
        <is>
          <t>负现金利率</t>
        </is>
      </c>
      <c r="D28" s="61" t="n">
        <v>0.08</v>
      </c>
      <c r="E28" s="20" t="inlineStr">
        <is>
          <t>比例/年</t>
        </is>
      </c>
      <c r="F28" s="20" t="inlineStr">
        <is>
          <t>÷12</t>
        </is>
      </c>
      <c r="G28" s="20" t="inlineStr">
        <is>
          <t>用户提供 HTML cashCFG</t>
        </is>
      </c>
      <c r="H28" s="20" t="inlineStr">
        <is>
          <t>立即生效</t>
        </is>
      </c>
      <c r="I28" s="20" t="str"/>
    </row>
    <row r="29">
      <c r="A29" s="20" t="inlineStr">
        <is>
          <t>经营损益</t>
        </is>
      </c>
      <c r="B29" s="20" t="inlineStr">
        <is>
          <t>pE</t>
        </is>
      </c>
      <c r="C29" s="20" t="inlineStr">
        <is>
          <t>电价</t>
        </is>
      </c>
      <c r="D29" s="61" t="n">
        <v>0.65</v>
      </c>
      <c r="E29" s="20" t="inlineStr">
        <is>
          <t>元/kWh</t>
        </is>
      </c>
      <c r="F29" s="20" t="inlineStr">
        <is>
          <t>随电量计入年度成本</t>
        </is>
      </c>
      <c r="G29" s="20" t="inlineStr">
        <is>
          <t>用户提供 HTML cashCFG</t>
        </is>
      </c>
      <c r="H29" s="20" t="inlineStr">
        <is>
          <t>立即生效</t>
        </is>
      </c>
      <c r="I29" s="20" t="str"/>
    </row>
    <row r="30">
      <c r="A30" s="20" t="inlineStr">
        <is>
          <t>经营损益</t>
        </is>
      </c>
      <c r="B30" s="20" t="inlineStr">
        <is>
          <t>pG</t>
        </is>
      </c>
      <c r="C30" s="20" t="inlineStr">
        <is>
          <t>天然气价格</t>
        </is>
      </c>
      <c r="D30" s="61" t="n">
        <v>3.5</v>
      </c>
      <c r="E30" s="20" t="inlineStr">
        <is>
          <t>元/m³</t>
        </is>
      </c>
      <c r="F30" s="20" t="inlineStr">
        <is>
          <t>随气量计入年度成本</t>
        </is>
      </c>
      <c r="G30" s="20" t="inlineStr">
        <is>
          <t>用户提供 HTML cashCFG</t>
        </is>
      </c>
      <c r="H30" s="20" t="inlineStr">
        <is>
          <t>立即生效</t>
        </is>
      </c>
      <c r="I30" s="20" t="str"/>
    </row>
    <row r="31">
      <c r="A31" s="20" t="inlineStr">
        <is>
          <t>经营损益</t>
        </is>
      </c>
      <c r="B31" s="20" t="inlineStr">
        <is>
          <t>pSell</t>
        </is>
      </c>
      <c r="C31" s="20" t="inlineStr">
        <is>
          <t>余电上网电价</t>
        </is>
      </c>
      <c r="D31" s="61" t="n">
        <v>0.38</v>
      </c>
      <c r="E31" s="20" t="inlineStr">
        <is>
          <t>元/kWh</t>
        </is>
      </c>
      <c r="F31" s="20" t="inlineStr">
        <is>
          <t>随余电计入年度收入</t>
        </is>
      </c>
      <c r="G31" s="20" t="inlineStr">
        <is>
          <t>用户提供 HTML cashCFG</t>
        </is>
      </c>
      <c r="H31" s="20" t="inlineStr">
        <is>
          <t>立即生效</t>
        </is>
      </c>
      <c r="I31" s="20" t="str"/>
    </row>
    <row r="32">
      <c r="A32" s="20" t="inlineStr">
        <is>
          <t>经营损益</t>
        </is>
      </c>
      <c r="B32" s="20" t="inlineStr">
        <is>
          <t>ppaPrem</t>
        </is>
      </c>
      <c r="C32" s="20" t="inlineStr">
        <is>
          <t>绿电初始溢价</t>
        </is>
      </c>
      <c r="D32" s="61" t="n">
        <v>0.08</v>
      </c>
      <c r="E32" s="20" t="inlineStr">
        <is>
          <t>元/kWh</t>
        </is>
      </c>
      <c r="F32" s="20" t="inlineStr">
        <is>
          <t>随电量计入年度成本</t>
        </is>
      </c>
      <c r="G32" s="20" t="inlineStr">
        <is>
          <t>用户提供 HTML cashCFG</t>
        </is>
      </c>
      <c r="H32" s="20" t="inlineStr">
        <is>
          <t>立即生效</t>
        </is>
      </c>
      <c r="I32" s="20" t="str"/>
    </row>
    <row r="33">
      <c r="A33" s="20" t="inlineStr">
        <is>
          <t>经营损益</t>
        </is>
      </c>
      <c r="B33" s="20" t="inlineStr">
        <is>
          <t>ppaPremInc</t>
        </is>
      </c>
      <c r="C33" s="20" t="inlineStr">
        <is>
          <t>绿电溢价年增额</t>
        </is>
      </c>
      <c r="D33" s="61" t="n">
        <v>0.006</v>
      </c>
      <c r="E33" s="20" t="inlineStr">
        <is>
          <t>元/kWh/年</t>
        </is>
      </c>
      <c r="F33" s="20" t="inlineStr">
        <is>
          <t>年度公式直接使用</t>
        </is>
      </c>
      <c r="G33" s="20" t="inlineStr">
        <is>
          <t>用户提供 HTML cashCFG</t>
        </is>
      </c>
      <c r="H33" s="20" t="inlineStr">
        <is>
          <t>立即生效</t>
        </is>
      </c>
      <c r="I33" s="20" t="str"/>
    </row>
    <row r="34">
      <c r="A34" s="20" t="inlineStr">
        <is>
          <t>经营损益</t>
        </is>
      </c>
      <c r="B34" s="20" t="inlineStr">
        <is>
          <t>ppaFullFactor</t>
        </is>
      </c>
      <c r="C34" s="20" t="inlineStr">
        <is>
          <t>100%绿电溢价系数</t>
        </is>
      </c>
      <c r="D34" s="61" t="n">
        <v>1.36</v>
      </c>
      <c r="E34" s="20" t="inlineStr">
        <is>
          <t>倍</t>
        </is>
      </c>
      <c r="F34" s="20" t="inlineStr">
        <is>
          <t>年度公式直接使用</t>
        </is>
      </c>
      <c r="G34" s="20" t="inlineStr">
        <is>
          <t>用户提供 HTML cashCFG</t>
        </is>
      </c>
      <c r="H34" s="20" t="inlineStr">
        <is>
          <t>立即生效</t>
        </is>
      </c>
      <c r="I34" s="20" t="str"/>
    </row>
    <row r="35">
      <c r="A35" s="20" t="inlineStr">
        <is>
          <t>经营损益</t>
        </is>
      </c>
      <c r="B35" s="20" t="inlineStr">
        <is>
          <t>gecPrice</t>
        </is>
      </c>
      <c r="C35" s="20" t="inlineStr">
        <is>
          <t>绿证价格</t>
        </is>
      </c>
      <c r="D35" s="61" t="n">
        <v>0.03</v>
      </c>
      <c r="E35" s="20" t="inlineStr">
        <is>
          <t>元/kWh</t>
        </is>
      </c>
      <c r="F35" s="20" t="inlineStr">
        <is>
          <t>随电量计入年度成本</t>
        </is>
      </c>
      <c r="G35" s="20" t="inlineStr">
        <is>
          <t>用户提供 HTML cashCFG</t>
        </is>
      </c>
      <c r="H35" s="20" t="inlineStr">
        <is>
          <t>立即生效</t>
        </is>
      </c>
      <c r="I35" s="20" t="str"/>
    </row>
    <row r="36">
      <c r="A36" s="20" t="inlineStr">
        <is>
          <t>经营损益</t>
        </is>
      </c>
      <c r="B36" s="20" t="inlineStr">
        <is>
          <t>essGain</t>
        </is>
      </c>
      <c r="C36" s="20" t="inlineStr">
        <is>
          <t>储能峰谷套利</t>
        </is>
      </c>
      <c r="D36" s="61" t="n">
        <v>45</v>
      </c>
      <c r="E36" s="20" t="inlineStr">
        <is>
          <t>万元/年</t>
        </is>
      </c>
      <c r="F36" s="20" t="inlineStr">
        <is>
          <t>÷12</t>
        </is>
      </c>
      <c r="G36" s="20" t="inlineStr">
        <is>
          <t>用户提供 HTML cashCFG</t>
        </is>
      </c>
      <c r="H36" s="20" t="inlineStr">
        <is>
          <t>立即生效</t>
        </is>
      </c>
      <c r="I36" s="20" t="str"/>
    </row>
    <row r="37">
      <c r="A37" s="20" t="inlineStr">
        <is>
          <t>经营损益</t>
        </is>
      </c>
      <c r="B37" s="20" t="inlineStr">
        <is>
          <t>emsSave</t>
        </is>
      </c>
      <c r="C37" s="20" t="inlineStr">
        <is>
          <t>能碳平台能源费节省率</t>
        </is>
      </c>
      <c r="D37" s="61" t="n">
        <v>0.012</v>
      </c>
      <c r="E37" s="20" t="inlineStr">
        <is>
          <t>比例</t>
        </is>
      </c>
      <c r="F37" s="20" t="inlineStr">
        <is>
          <t>年度能源成本乘数</t>
        </is>
      </c>
      <c r="G37" s="20" t="inlineStr">
        <is>
          <t>用户提供 HTML cashCFG</t>
        </is>
      </c>
      <c r="H37" s="20" t="inlineStr">
        <is>
          <t>立即生效</t>
        </is>
      </c>
      <c r="I37" s="20" t="str"/>
    </row>
    <row r="38">
      <c r="A38" s="20" t="inlineStr">
        <is>
          <t>经营损益</t>
        </is>
      </c>
      <c r="B38" s="20" t="inlineStr">
        <is>
          <t>isoMaint</t>
        </is>
      </c>
      <c r="C38" s="20" t="inlineStr">
        <is>
          <t>单项ISO维持费</t>
        </is>
      </c>
      <c r="D38" s="61" t="n">
        <v>6</v>
      </c>
      <c r="E38" s="20" t="inlineStr">
        <is>
          <t>万元/项/年</t>
        </is>
      </c>
      <c r="F38" s="20" t="inlineStr">
        <is>
          <t>÷12</t>
        </is>
      </c>
      <c r="G38" s="20" t="inlineStr">
        <is>
          <t>用户提供 HTML cashCFG</t>
        </is>
      </c>
      <c r="H38" s="20" t="inlineStr">
        <is>
          <t>立即生效</t>
        </is>
      </c>
      <c r="I38" s="20" t="str"/>
    </row>
    <row r="39">
      <c r="A39" s="20" t="inlineStr">
        <is>
          <t>经营损益</t>
        </is>
      </c>
      <c r="B39" s="20" t="inlineStr">
        <is>
          <t>expFee</t>
        </is>
      </c>
      <c r="C39" s="20" t="inlineStr">
        <is>
          <t>出口业务附加费</t>
        </is>
      </c>
      <c r="D39" s="61" t="n">
        <v>8</v>
      </c>
      <c r="E39" s="20" t="inlineStr">
        <is>
          <t>万元/万件</t>
        </is>
      </c>
      <c r="F39" s="20" t="inlineStr">
        <is>
          <t>随出口量计入年度成本</t>
        </is>
      </c>
      <c r="G39" s="20" t="inlineStr">
        <is>
          <t>用户提供 HTML cashCFG</t>
        </is>
      </c>
      <c r="H39" s="20" t="inlineStr">
        <is>
          <t>立即生效</t>
        </is>
      </c>
      <c r="I39" s="20" t="str"/>
    </row>
    <row r="40">
      <c r="A40" s="20" t="inlineStr">
        <is>
          <t>经营损益</t>
        </is>
      </c>
      <c r="B40" s="20" t="inlineStr">
        <is>
          <t>inflationRate</t>
        </is>
      </c>
      <c r="C40" s="20" t="inlineStr">
        <is>
          <t>年度通胀率</t>
        </is>
      </c>
      <c r="D40" s="61" t="n">
        <v>0.02</v>
      </c>
      <c r="E40" s="20" t="inlineStr">
        <is>
          <t>比例/年</t>
        </is>
      </c>
      <c r="F40" s="20" t="inlineStr">
        <is>
          <t>年度公式直接使用</t>
        </is>
      </c>
      <c r="G40" s="20" t="inlineStr">
        <is>
          <t>用户提供 HTML cashCFG</t>
        </is>
      </c>
      <c r="H40" s="20" t="inlineStr">
        <is>
          <t>立即生效</t>
        </is>
      </c>
      <c r="I40" s="20" t="str"/>
    </row>
    <row r="41">
      <c r="A41" s="20" t="inlineStr">
        <is>
          <t>经营损益</t>
        </is>
      </c>
      <c r="B41" s="20" t="inlineStr">
        <is>
          <t>greenLoanPrincipal</t>
        </is>
      </c>
      <c r="C41" s="20" t="inlineStr">
        <is>
          <t>绿色信贷本金</t>
        </is>
      </c>
      <c r="D41" s="61" t="n">
        <v>400</v>
      </c>
      <c r="E41" s="20" t="inlineStr">
        <is>
          <t>万元</t>
        </is>
      </c>
      <c r="F41" s="20" t="inlineStr">
        <is>
          <t>放款时增加现金并形成同额欠款</t>
        </is>
      </c>
      <c r="G41" s="20" t="inlineStr">
        <is>
          <t>用户提供 HTML cashCFG</t>
        </is>
      </c>
      <c r="H41" s="20" t="inlineStr">
        <is>
          <t>立即生效</t>
        </is>
      </c>
      <c r="I41" s="20" t="str"/>
    </row>
    <row r="42">
      <c r="A42" s="20" t="inlineStr">
        <is>
          <t>经营损益</t>
        </is>
      </c>
      <c r="B42" s="20" t="inlineStr">
        <is>
          <t>greenLoanYears</t>
        </is>
      </c>
      <c r="C42" s="20" t="inlineStr">
        <is>
          <t>绿色信贷期限</t>
        </is>
      </c>
      <c r="D42" s="61" t="n">
        <v>8</v>
      </c>
      <c r="E42" s="20" t="inlineStr">
        <is>
          <t>年</t>
        </is>
      </c>
      <c r="F42" s="20" t="inlineStr">
        <is>
          <t>本金按期限×12个月等额减少</t>
        </is>
      </c>
      <c r="G42" s="20" t="inlineStr">
        <is>
          <t>用户提供 HTML cashCFG</t>
        </is>
      </c>
      <c r="H42" s="20" t="inlineStr">
        <is>
          <t>立即生效</t>
        </is>
      </c>
      <c r="I42" s="20" t="str"/>
    </row>
    <row r="43">
      <c r="A43" s="20" t="inlineStr">
        <is>
          <t>经营损益</t>
        </is>
      </c>
      <c r="B43" s="20" t="inlineStr">
        <is>
          <t>loanAnnualPayment</t>
        </is>
      </c>
      <c r="C43" s="20" t="inlineStr">
        <is>
          <t>绿色信贷年还本付息</t>
        </is>
      </c>
      <c r="D43" s="61" t="n">
        <v>62</v>
      </c>
      <c r="E43" s="20" t="inlineStr">
        <is>
          <t>万元/年</t>
        </is>
      </c>
      <c r="F43" s="20" t="inlineStr">
        <is>
          <t>有欠款时÷12计入月度融资费用</t>
        </is>
      </c>
      <c r="G43" s="20" t="inlineStr">
        <is>
          <t>用户提供 HTML cashCFG</t>
        </is>
      </c>
      <c r="H43" s="20" t="inlineStr">
        <is>
          <t>立即生效</t>
        </is>
      </c>
      <c r="I43" s="20" t="str"/>
    </row>
    <row r="44">
      <c r="A44" s="20" t="inlineStr">
        <is>
          <t>产品与需求</t>
        </is>
      </c>
      <c r="B44" s="20" t="inlineStr">
        <is>
          <t>price_dom</t>
        </is>
      </c>
      <c r="C44" s="20" t="inlineStr">
        <is>
          <t>国内产品单价</t>
        </is>
      </c>
      <c r="D44" s="61" t="n">
        <v>92</v>
      </c>
      <c r="E44" s="20" t="inlineStr">
        <is>
          <t>元/件</t>
        </is>
      </c>
      <c r="F44" s="20" t="inlineStr">
        <is>
          <t>销量×单价</t>
        </is>
      </c>
      <c r="G44" s="20" t="inlineStr">
        <is>
          <t>用户提供 HTML scoreCFG</t>
        </is>
      </c>
      <c r="H44" s="20" t="inlineStr">
        <is>
          <t>立即生效</t>
        </is>
      </c>
      <c r="I44" s="20" t="str"/>
    </row>
    <row r="45">
      <c r="A45" s="20" t="inlineStr">
        <is>
          <t>产品与需求</t>
        </is>
      </c>
      <c r="B45" s="20" t="inlineStr">
        <is>
          <t>price_key</t>
        </is>
      </c>
      <c r="C45" s="20" t="inlineStr">
        <is>
          <t>大客户产品单价</t>
        </is>
      </c>
      <c r="D45" s="61" t="n">
        <v>108</v>
      </c>
      <c r="E45" s="20" t="inlineStr">
        <is>
          <t>元/件</t>
        </is>
      </c>
      <c r="F45" s="20" t="inlineStr">
        <is>
          <t>销量×单价</t>
        </is>
      </c>
      <c r="G45" s="20" t="inlineStr">
        <is>
          <t>用户提供 HTML scoreCFG</t>
        </is>
      </c>
      <c r="H45" s="20" t="inlineStr">
        <is>
          <t>立即生效</t>
        </is>
      </c>
      <c r="I45" s="20" t="str"/>
    </row>
    <row r="46">
      <c r="A46" s="20" t="inlineStr">
        <is>
          <t>产品与需求</t>
        </is>
      </c>
      <c r="B46" s="20" t="inlineStr">
        <is>
          <t>price_exp</t>
        </is>
      </c>
      <c r="C46" s="20" t="inlineStr">
        <is>
          <t>出口产品单价</t>
        </is>
      </c>
      <c r="D46" s="61" t="n">
        <v>130</v>
      </c>
      <c r="E46" s="20" t="inlineStr">
        <is>
          <t>元/件</t>
        </is>
      </c>
      <c r="F46" s="20" t="inlineStr">
        <is>
          <t>销量×单价</t>
        </is>
      </c>
      <c r="G46" s="20" t="inlineStr">
        <is>
          <t>用户提供 HTML scoreCFG</t>
        </is>
      </c>
      <c r="H46" s="20" t="inlineStr">
        <is>
          <t>立即生效</t>
        </is>
      </c>
      <c r="I46" s="20" t="str"/>
    </row>
    <row r="47">
      <c r="A47" s="20" t="inlineStr">
        <is>
          <t>产品与需求</t>
        </is>
      </c>
      <c r="B47" s="20" t="inlineStr">
        <is>
          <t>demand_dom</t>
        </is>
      </c>
      <c r="C47" s="20" t="inlineStr">
        <is>
          <t>国内年度需求</t>
        </is>
      </c>
      <c r="D47" s="61" t="n">
        <v>95</v>
      </c>
      <c r="E47" s="20" t="inlineStr">
        <is>
          <t>万件/年</t>
        </is>
      </c>
      <c r="F47" s="20" t="inlineStr">
        <is>
          <t>÷12</t>
        </is>
      </c>
      <c r="G47" s="20" t="inlineStr">
        <is>
          <t>用户提供 HTML scoreCFG</t>
        </is>
      </c>
      <c r="H47" s="20" t="inlineStr">
        <is>
          <t>立即生效</t>
        </is>
      </c>
      <c r="I47" s="20" t="str"/>
    </row>
    <row r="48">
      <c r="A48" s="20" t="inlineStr">
        <is>
          <t>产品与需求</t>
        </is>
      </c>
      <c r="B48" s="20" t="inlineStr">
        <is>
          <t>demand_key</t>
        </is>
      </c>
      <c r="C48" s="20" t="inlineStr">
        <is>
          <t>大客户年度需求</t>
        </is>
      </c>
      <c r="D48" s="61" t="n">
        <v>35</v>
      </c>
      <c r="E48" s="20" t="inlineStr">
        <is>
          <t>万件/年</t>
        </is>
      </c>
      <c r="F48" s="20" t="inlineStr">
        <is>
          <t>÷12</t>
        </is>
      </c>
      <c r="G48" s="20" t="inlineStr">
        <is>
          <t>用户提供 HTML scoreCFG</t>
        </is>
      </c>
      <c r="H48" s="20" t="inlineStr">
        <is>
          <t>立即生效</t>
        </is>
      </c>
      <c r="I48" s="20" t="str"/>
    </row>
    <row r="49">
      <c r="A49" s="20" t="inlineStr">
        <is>
          <t>产品与需求</t>
        </is>
      </c>
      <c r="B49" s="20" t="inlineStr">
        <is>
          <t>demand_exp</t>
        </is>
      </c>
      <c r="C49" s="20" t="inlineStr">
        <is>
          <t>出口年度需求</t>
        </is>
      </c>
      <c r="D49" s="61" t="n">
        <v>40</v>
      </c>
      <c r="E49" s="20" t="inlineStr">
        <is>
          <t>万件/年</t>
        </is>
      </c>
      <c r="F49" s="20" t="inlineStr">
        <is>
          <t>÷12</t>
        </is>
      </c>
      <c r="G49" s="20" t="inlineStr">
        <is>
          <t>用户提供 HTML scoreCFG</t>
        </is>
      </c>
      <c r="H49" s="20" t="inlineStr">
        <is>
          <t>立即生效</t>
        </is>
      </c>
      <c r="I49" s="20" t="str"/>
    </row>
    <row r="50">
      <c r="A50" s="20" t="inlineStr">
        <is>
          <t>评分与能耗</t>
        </is>
      </c>
      <c r="B50" s="20" t="inlineStr">
        <is>
          <t>cap0</t>
        </is>
      </c>
      <c r="C50" s="20" t="inlineStr">
        <is>
          <t>评分模型初始产能</t>
        </is>
      </c>
      <c r="D50" s="61" t="n">
        <v>120</v>
      </c>
      <c r="E50" s="20" t="inlineStr">
        <is>
          <t>万件/年</t>
        </is>
      </c>
      <c r="F50" s="20" t="inlineStr">
        <is>
          <t>年度评分公式直接使用</t>
        </is>
      </c>
      <c r="G50" s="20" t="inlineStr">
        <is>
          <t>用户提供 HTML scoreCFG</t>
        </is>
      </c>
      <c r="H50" s="20" t="inlineStr">
        <is>
          <t>立即生效</t>
        </is>
      </c>
      <c r="I50" s="20" t="str"/>
    </row>
    <row r="51">
      <c r="A51" s="20" t="inlineStr">
        <is>
          <t>评分与能耗</t>
        </is>
      </c>
      <c r="B51" s="20" t="inlineStr">
        <is>
          <t>elecPer</t>
        </is>
      </c>
      <c r="C51" s="20" t="inlineStr">
        <is>
          <t>单位产量用电</t>
        </is>
      </c>
      <c r="D51" s="61" t="n">
        <v>16.667</v>
      </c>
      <c r="E51" s="20" t="inlineStr">
        <is>
          <t>万kWh/万件</t>
        </is>
      </c>
      <c r="F51" s="20" t="inlineStr">
        <is>
          <t>年度评分公式直接使用</t>
        </is>
      </c>
      <c r="G51" s="20" t="inlineStr">
        <is>
          <t>用户提供 HTML scoreCFG</t>
        </is>
      </c>
      <c r="H51" s="20" t="inlineStr">
        <is>
          <t>立即生效</t>
        </is>
      </c>
      <c r="I51" s="20" t="str"/>
    </row>
    <row r="52">
      <c r="A52" s="20" t="inlineStr">
        <is>
          <t>评分与能耗</t>
        </is>
      </c>
      <c r="B52" s="20" t="inlineStr">
        <is>
          <t>gasPer</t>
        </is>
      </c>
      <c r="C52" s="20" t="inlineStr">
        <is>
          <t>单位产量用气</t>
        </is>
      </c>
      <c r="D52" s="61" t="n">
        <v>1.1111</v>
      </c>
      <c r="E52" s="20" t="inlineStr">
        <is>
          <t>万m³/万件</t>
        </is>
      </c>
      <c r="F52" s="20" t="inlineStr">
        <is>
          <t>年度评分公式直接使用</t>
        </is>
      </c>
      <c r="G52" s="20" t="inlineStr">
        <is>
          <t>用户提供 HTML scoreCFG</t>
        </is>
      </c>
      <c r="H52" s="20" t="inlineStr">
        <is>
          <t>立即生效</t>
        </is>
      </c>
      <c r="I52" s="20" t="str"/>
    </row>
    <row r="53">
      <c r="A53" s="20" t="inlineStr">
        <is>
          <t>评分与能耗</t>
        </is>
      </c>
      <c r="B53" s="20" t="inlineStr">
        <is>
          <t>EF_E</t>
        </is>
      </c>
      <c r="C53" s="20" t="inlineStr">
        <is>
          <t>电力排放因子</t>
        </is>
      </c>
      <c r="D53" s="61" t="n">
        <v>6.096</v>
      </c>
      <c r="E53" s="20" t="inlineStr">
        <is>
          <t>tCO₂e/万kWh</t>
        </is>
      </c>
      <c r="F53" s="20" t="inlineStr">
        <is>
          <t>年度评分公式直接使用</t>
        </is>
      </c>
      <c r="G53" s="20" t="inlineStr">
        <is>
          <t>用户提供 HTML scoreCFG</t>
        </is>
      </c>
      <c r="H53" s="20" t="inlineStr">
        <is>
          <t>立即生效</t>
        </is>
      </c>
      <c r="I53" s="20" t="str"/>
    </row>
    <row r="54">
      <c r="A54" s="20" t="inlineStr">
        <is>
          <t>评分与能耗</t>
        </is>
      </c>
      <c r="B54" s="20" t="inlineStr">
        <is>
          <t>EF_G</t>
        </is>
      </c>
      <c r="C54" s="20" t="inlineStr">
        <is>
          <t>天然气排放因子</t>
        </is>
      </c>
      <c r="D54" s="61" t="n">
        <v>21.6</v>
      </c>
      <c r="E54" s="20" t="inlineStr">
        <is>
          <t>tCO₂e/万m³</t>
        </is>
      </c>
      <c r="F54" s="20" t="inlineStr">
        <is>
          <t>年度评分公式直接使用</t>
        </is>
      </c>
      <c r="G54" s="20" t="inlineStr">
        <is>
          <t>用户提供 HTML scoreCFG</t>
        </is>
      </c>
      <c r="H54" s="20" t="inlineStr">
        <is>
          <t>立即生效</t>
        </is>
      </c>
      <c r="I54" s="20" t="str"/>
    </row>
    <row r="55">
      <c r="A55" s="20" t="inlineStr">
        <is>
          <t>评分与能耗</t>
        </is>
      </c>
      <c r="B55" s="20" t="inlineStr">
        <is>
          <t>refrig</t>
        </is>
      </c>
      <c r="C55" s="20" t="inlineStr">
        <is>
          <t>制冷剂排放</t>
        </is>
      </c>
      <c r="D55" s="61" t="n">
        <v>230</v>
      </c>
      <c r="E55" s="20" t="inlineStr">
        <is>
          <t>tCO₂e/年</t>
        </is>
      </c>
      <c r="F55" s="20" t="inlineStr">
        <is>
          <t>年度评分公式直接使用</t>
        </is>
      </c>
      <c r="G55" s="20" t="inlineStr">
        <is>
          <t>用户提供 HTML scoreCFG</t>
        </is>
      </c>
      <c r="H55" s="20" t="inlineStr">
        <is>
          <t>立即生效</t>
        </is>
      </c>
      <c r="I55" s="20" t="str"/>
    </row>
    <row r="56">
      <c r="A56" s="20" t="inlineStr">
        <is>
          <t>评分与能耗</t>
        </is>
      </c>
      <c r="B56" s="20" t="inlineStr">
        <is>
          <t>forklift</t>
        </is>
      </c>
      <c r="C56" s="20" t="inlineStr">
        <is>
          <t>叉车排放</t>
        </is>
      </c>
      <c r="D56" s="61" t="n">
        <v>150</v>
      </c>
      <c r="E56" s="20" t="inlineStr">
        <is>
          <t>tCO₂e/年</t>
        </is>
      </c>
      <c r="F56" s="20" t="inlineStr">
        <is>
          <t>年度评分公式直接使用</t>
        </is>
      </c>
      <c r="G56" s="20" t="inlineStr">
        <is>
          <t>用户提供 HTML scoreCFG</t>
        </is>
      </c>
      <c r="H56" s="20" t="inlineStr">
        <is>
          <t>立即生效</t>
        </is>
      </c>
      <c r="I56" s="20" t="str"/>
    </row>
    <row r="57">
      <c r="A57" s="20" t="inlineStr">
        <is>
          <t>评分与能耗</t>
        </is>
      </c>
      <c r="B57" s="20" t="inlineStr">
        <is>
          <t>pvGen</t>
        </is>
      </c>
      <c r="C57" s="20" t="inlineStr">
        <is>
          <t>单期光伏年发电量</t>
        </is>
      </c>
      <c r="D57" s="61" t="n">
        <v>200</v>
      </c>
      <c r="E57" s="20" t="inlineStr">
        <is>
          <t>万kWh/年</t>
        </is>
      </c>
      <c r="F57" s="20" t="inlineStr">
        <is>
          <t>年度评分公式直接使用</t>
        </is>
      </c>
      <c r="G57" s="20" t="inlineStr">
        <is>
          <t>用户提供 HTML scoreCFG</t>
        </is>
      </c>
      <c r="H57" s="20" t="inlineStr">
        <is>
          <t>立即生效</t>
        </is>
      </c>
      <c r="I57" s="20" t="str"/>
    </row>
    <row r="58">
      <c r="A58" s="20" t="inlineStr">
        <is>
          <t>评分与能耗</t>
        </is>
      </c>
      <c r="B58" s="20" t="inlineStr">
        <is>
          <t>pvSu</t>
        </is>
      </c>
      <c r="C58" s="20" t="inlineStr">
        <is>
          <t>光伏初始自用率</t>
        </is>
      </c>
      <c r="D58" s="61" t="n">
        <v>0.8</v>
      </c>
      <c r="E58" s="20" t="inlineStr">
        <is>
          <t>比例</t>
        </is>
      </c>
      <c r="F58" s="20" t="inlineStr">
        <is>
          <t>年度评分公式直接使用</t>
        </is>
      </c>
      <c r="G58" s="20" t="inlineStr">
        <is>
          <t>用户提供 HTML scoreCFG</t>
        </is>
      </c>
      <c r="H58" s="20" t="inlineStr">
        <is>
          <t>立即生效</t>
        </is>
      </c>
      <c r="I58" s="20" t="str"/>
    </row>
    <row r="59">
      <c r="A59" s="20" t="inlineStr">
        <is>
          <t>评分与能耗</t>
        </is>
      </c>
      <c r="B59" s="20" t="inlineStr">
        <is>
          <t>pvSuEss</t>
        </is>
      </c>
      <c r="C59" s="20" t="inlineStr">
        <is>
          <t>配置储能后自用率</t>
        </is>
      </c>
      <c r="D59" s="61" t="n">
        <v>0.95</v>
      </c>
      <c r="E59" s="20" t="inlineStr">
        <is>
          <t>比例</t>
        </is>
      </c>
      <c r="F59" s="20" t="inlineStr">
        <is>
          <t>年度评分公式直接使用</t>
        </is>
      </c>
      <c r="G59" s="20" t="inlineStr">
        <is>
          <t>用户提供 HTML scoreCFG</t>
        </is>
      </c>
      <c r="H59" s="20" t="inlineStr">
        <is>
          <t>立即生效</t>
        </is>
      </c>
      <c r="I59" s="20" t="str"/>
    </row>
    <row r="60">
      <c r="A60" s="20" t="inlineStr">
        <is>
          <t>评分与能耗</t>
        </is>
      </c>
      <c r="B60" s="20" t="inlineStr">
        <is>
          <t>ppaCover0</t>
        </is>
      </c>
      <c r="C60" s="20" t="inlineStr">
        <is>
          <t>绿电直购初始覆盖率</t>
        </is>
      </c>
      <c r="D60" s="61" t="n">
        <v>0.7</v>
      </c>
      <c r="E60" s="20" t="inlineStr">
        <is>
          <t>比例</t>
        </is>
      </c>
      <c r="F60" s="20" t="inlineStr">
        <is>
          <t>年度评分公式直接使用</t>
        </is>
      </c>
      <c r="G60" s="20" t="inlineStr">
        <is>
          <t>用户提供 HTML scoreCFG</t>
        </is>
      </c>
      <c r="H60" s="20" t="inlineStr">
        <is>
          <t>立即生效</t>
        </is>
      </c>
      <c r="I60" s="20" t="str"/>
    </row>
    <row r="61">
      <c r="A61" s="20" t="inlineStr">
        <is>
          <t>事件规则</t>
        </is>
      </c>
      <c r="B61" s="20" t="inlineStr">
        <is>
          <t>yearEventChance</t>
        </is>
      </c>
      <c r="C61" s="20" t="inlineStr">
        <is>
          <t>季度末年度事件出现概率</t>
        </is>
      </c>
      <c r="D61" s="62" t="n">
        <v>0.5</v>
      </c>
      <c r="E61" s="20" t="inlineStr">
        <is>
          <t>0-1</t>
        </is>
      </c>
      <c r="F61" s="20" t="inlineStr">
        <is>
          <t>不换算</t>
        </is>
      </c>
      <c r="G61" s="20" t="inlineStr">
        <is>
          <t>管理员配置</t>
        </is>
      </c>
      <c r="H61" s="20" t="inlineStr">
        <is>
          <t>立即生效</t>
        </is>
      </c>
      <c r="I61" s="20" t="inlineStr">
        <is>
          <t>每季度末先判定是否出现年度事件；0 表示不出现，1 表示必定出现。</t>
        </is>
      </c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668873"/>
    <outlinePr summaryBelow="1" summaryRight="1"/>
    <pageSetUpPr/>
  </sheetPr>
  <dimension ref="A2:S38"/>
  <sheetViews>
    <sheetView showGridLines="0" workbookViewId="0">
      <pane xSplit="4" ySplit="5" topLeftCell="E6" activePane="bottomRight" state="frozen"/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8" customWidth="1" min="4" max="4"/>
    <col width="34" customWidth="1" min="5" max="5"/>
    <col width="42" customWidth="1" min="6" max="6"/>
    <col width="15" customWidth="1" min="7" max="7"/>
    <col width="12" customWidth="1" min="8" max="8"/>
    <col width="19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2" customWidth="1" min="17" max="17"/>
    <col width="10" customWidth="1" min="18" max="18"/>
    <col width="48" customWidth="1" min="19" max="19"/>
  </cols>
  <sheetData>
    <row r="2">
      <c r="A2" s="1" t="inlineStr">
        <is>
          <t>项目卡</t>
        </is>
      </c>
    </row>
    <row r="3">
      <c r="A3" s="3" t="inlineStr">
        <is>
          <t>施工款逐月支付；“按月线性”项目每完成一个施工月，同步释放相同比例的经营和绿色数值成效。资格、认证与前置解锁仍以完整完成为准。</t>
        </is>
      </c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</row>
    <row r="5">
      <c r="A5" s="12" t="inlineStr">
        <is>
          <t>分类</t>
        </is>
      </c>
      <c r="B5" s="24" t="inlineStr">
        <is>
          <t>项目ID</t>
        </is>
      </c>
      <c r="C5" s="24" t="inlineStr">
        <is>
          <t>来源ID</t>
        </is>
      </c>
      <c r="D5" s="24" t="inlineStr">
        <is>
          <t>项目名称</t>
        </is>
      </c>
      <c r="E5" s="24" t="inlineStr">
        <is>
          <t>说明</t>
        </is>
      </c>
      <c r="F5" s="24" t="inlineStr">
        <is>
          <t>完整效果</t>
        </is>
      </c>
      <c r="G5" s="24" t="inlineStr">
        <is>
          <t>总成本_万元</t>
        </is>
      </c>
      <c r="H5" s="24" t="inlineStr">
        <is>
          <t>基础完成月数</t>
        </is>
      </c>
      <c r="I5" s="24" t="inlineStr">
        <is>
          <t>基础月均施工支出_万元</t>
        </is>
      </c>
      <c r="J5" s="24" t="inlineStr">
        <is>
          <t>项目类型</t>
        </is>
      </c>
      <c r="K5" s="24" t="inlineStr">
        <is>
          <t>收益释放方式</t>
        </is>
      </c>
      <c r="L5" s="24" t="inlineStr">
        <is>
          <t>每施工月释放比例</t>
        </is>
      </c>
      <c r="M5" s="24" t="inlineStr">
        <is>
          <t>最多完成次数</t>
        </is>
      </c>
      <c r="N5" s="24" t="inlineStr">
        <is>
          <t>前置项目ID</t>
        </is>
      </c>
      <c r="O5" s="24" t="inlineStr">
        <is>
          <t>可重复安排</t>
        </is>
      </c>
      <c r="P5" s="24" t="inlineStr">
        <is>
          <t>是否动态成本</t>
        </is>
      </c>
      <c r="Q5" s="24" t="inlineStr">
        <is>
          <t>标签</t>
        </is>
      </c>
      <c r="R5" s="24" t="inlineStr">
        <is>
          <t>启用</t>
        </is>
      </c>
      <c r="S5" s="13" t="inlineStr">
        <is>
          <t>备注</t>
        </is>
      </c>
    </row>
    <row r="6">
      <c r="A6" s="20" t="inlineStr">
        <is>
          <t>日常安排</t>
        </is>
      </c>
      <c r="B6" s="20" t="inlineStr">
        <is>
          <t>idle</t>
        </is>
      </c>
      <c r="C6" s="20" t="inlineStr">
        <is>
          <t>idle</t>
        </is>
      </c>
      <c r="D6" s="20" t="inlineStr">
        <is>
          <t>摸鱼 / 空过</t>
        </is>
      </c>
      <c r="E6" s="20" t="inlineStr">
        <is>
          <t>这个月不启动新项目，维持日常生产经营。</t>
        </is>
      </c>
      <c r="F6" s="20" t="inlineStr">
        <is>
          <t>项目支出 0；仍按 HTML 经营公式结算当月经营现金流</t>
        </is>
      </c>
      <c r="G6" s="63" t="n">
        <v>0</v>
      </c>
      <c r="H6" s="63" t="n">
        <v>0</v>
      </c>
      <c r="I6" s="64">
        <f>IF(H6=0,0,G6/H6)</f>
        <v/>
      </c>
      <c r="J6" s="20" t="inlineStr">
        <is>
          <t>可重复月度安排</t>
        </is>
      </c>
      <c r="K6" s="34" t="inlineStr">
        <is>
          <t>完成时</t>
        </is>
      </c>
      <c r="L6" s="65">
        <f>IF(OR(H6=0,K6&lt;&gt;"按月线性"),0,1/H6)</f>
        <v/>
      </c>
      <c r="M6" s="34" t="n">
        <v>999</v>
      </c>
      <c r="N6" s="20" t="str"/>
      <c r="O6" s="34" t="inlineStr">
        <is>
          <t>是</t>
        </is>
      </c>
      <c r="P6" s="34" t="inlineStr">
        <is>
          <t>否</t>
        </is>
      </c>
      <c r="Q6" s="20" t="inlineStr">
        <is>
          <t>日常</t>
        </is>
      </c>
      <c r="R6" s="34" t="inlineStr">
        <is>
          <t>是</t>
        </is>
      </c>
      <c r="S6" s="20" t="inlineStr">
        <is>
          <t>摸鱼可每月重复；项目支出为0</t>
        </is>
      </c>
    </row>
    <row r="7">
      <c r="A7" s="20" t="inlineStr">
        <is>
          <t>经营与产能</t>
        </is>
      </c>
      <c r="B7" s="20" t="inlineStr">
        <is>
          <t>line2</t>
        </is>
      </c>
      <c r="C7" s="20" t="inlineStr">
        <is>
          <t>line2</t>
        </is>
      </c>
      <c r="D7" s="20" t="inlineStr">
        <is>
          <t>扩建一条产线</t>
        </is>
      </c>
      <c r="E7" s="20" t="inlineStr">
        <is>
          <t>扩产同时会推高能耗与排放总量。</t>
        </is>
      </c>
      <c r="F7" s="20" t="inlineStr">
        <is>
          <t>产能 +40 万件/年；施工当年产量损失约 10%</t>
        </is>
      </c>
      <c r="G7" s="63" t="n">
        <v>850</v>
      </c>
      <c r="H7" s="63" t="n">
        <v>12</v>
      </c>
      <c r="I7" s="64">
        <f>IF(H7=0,0,G7/H7)</f>
        <v/>
      </c>
      <c r="J7" s="20" t="inlineStr">
        <is>
          <t>多月项目</t>
        </is>
      </c>
      <c r="K7" s="34" t="inlineStr">
        <is>
          <t>按月线性</t>
        </is>
      </c>
      <c r="L7" s="65">
        <f>IF(OR(H7=0,K7&lt;&gt;"按月线性"),0,1/H7)</f>
        <v/>
      </c>
      <c r="M7" s="34" t="n">
        <v>2</v>
      </c>
      <c r="N7" s="20" t="str"/>
      <c r="O7" s="34" t="inlineStr">
        <is>
          <t>否</t>
        </is>
      </c>
      <c r="P7" s="34" t="inlineStr">
        <is>
          <t>否</t>
        </is>
      </c>
      <c r="Q7" s="20" t="inlineStr">
        <is>
          <t>扩产</t>
        </is>
      </c>
      <c r="R7" s="34" t="inlineStr">
        <is>
          <t>是</t>
        </is>
      </c>
      <c r="S7" s="20" t="inlineStr">
        <is>
          <t>每施工一个月，按进度比例释放数值成效；完整后才解锁资格和前置条件</t>
        </is>
      </c>
    </row>
    <row r="8">
      <c r="A8" s="20" t="inlineStr">
        <is>
          <t>经营与产能</t>
        </is>
      </c>
      <c r="B8" s="20" t="inlineStr">
        <is>
          <t>hire</t>
        </is>
      </c>
      <c r="C8" s="20" t="inlineStr">
        <is>
          <t>hire</t>
        </is>
      </c>
      <c r="D8" s="20" t="inlineStr">
        <is>
          <t>招聘能源与 EHS 工程师</t>
        </is>
      </c>
      <c r="E8" s="20" t="inlineStr">
        <is>
          <t>项目做不完往往不是没钱，是没人盯。</t>
        </is>
      </c>
      <c r="F8" s="20" t="inlineStr">
        <is>
          <t>后续项目完成月数缩短；此后每年增加 38 万人力成本</t>
        </is>
      </c>
      <c r="G8" s="63" t="n">
        <v>15</v>
      </c>
      <c r="H8" s="63" t="n">
        <v>0</v>
      </c>
      <c r="I8" s="64">
        <f>IF(H8=0,0,G8/H8)</f>
        <v/>
      </c>
      <c r="J8" s="20" t="inlineStr">
        <is>
          <t>管理事项</t>
        </is>
      </c>
      <c r="K8" s="34" t="inlineStr">
        <is>
          <t>完成时</t>
        </is>
      </c>
      <c r="L8" s="65">
        <f>IF(OR(H8=0,K8&lt;&gt;"按月线性"),0,1/H8)</f>
        <v/>
      </c>
      <c r="M8" s="34" t="n">
        <v>2</v>
      </c>
      <c r="N8" s="20" t="str"/>
      <c r="O8" s="34" t="inlineStr">
        <is>
          <t>否</t>
        </is>
      </c>
      <c r="P8" s="34" t="inlineStr">
        <is>
          <t>否</t>
        </is>
      </c>
      <c r="Q8" s="20" t="inlineStr">
        <is>
          <t>团队</t>
        </is>
      </c>
      <c r="R8" s="34" t="inlineStr">
        <is>
          <t>是</t>
        </is>
      </c>
      <c r="S8" s="20" t="inlineStr">
        <is>
          <t>完整完成后一次生效</t>
        </is>
      </c>
    </row>
    <row r="9">
      <c r="A9" s="20" t="inlineStr">
        <is>
          <t>经营与产能</t>
        </is>
      </c>
      <c r="B9" s="20" t="inlineStr">
        <is>
          <t>auto</t>
        </is>
      </c>
      <c r="C9" s="20" t="inlineStr">
        <is>
          <t>auto</t>
        </is>
      </c>
      <c r="D9" s="20" t="inlineStr">
        <is>
          <t>产线自动化改造</t>
        </is>
      </c>
      <c r="E9" s="20" t="inlineStr">
        <is>
          <t>与“生产工艺和设备先进性”共用一套佐证材料。</t>
        </is>
      </c>
      <c r="F9" s="20" t="inlineStr">
        <is>
          <t>单位人工成本下降约 18%，良率提升带来单价 +2 元；施工当年停产约 15%</t>
        </is>
      </c>
      <c r="G9" s="63" t="n">
        <v>600</v>
      </c>
      <c r="H9" s="63" t="n">
        <v>12</v>
      </c>
      <c r="I9" s="64">
        <f>IF(H9=0,0,G9/H9)</f>
        <v/>
      </c>
      <c r="J9" s="20" t="inlineStr">
        <is>
          <t>多月项目</t>
        </is>
      </c>
      <c r="K9" s="34" t="inlineStr">
        <is>
          <t>按月线性</t>
        </is>
      </c>
      <c r="L9" s="65">
        <f>IF(OR(H9=0,K9&lt;&gt;"按月线性"),0,1/H9)</f>
        <v/>
      </c>
      <c r="M9" s="34" t="n">
        <v>1</v>
      </c>
      <c r="N9" s="20" t="str"/>
      <c r="O9" s="34" t="inlineStr">
        <is>
          <t>否</t>
        </is>
      </c>
      <c r="P9" s="34" t="inlineStr">
        <is>
          <t>否</t>
        </is>
      </c>
      <c r="Q9" s="20" t="inlineStr">
        <is>
          <t>技改</t>
        </is>
      </c>
      <c r="R9" s="34" t="inlineStr">
        <is>
          <t>是</t>
        </is>
      </c>
      <c r="S9" s="20" t="inlineStr">
        <is>
          <t>每施工一个月，按进度比例释放数值成效；完整后才解锁资格和前置条件</t>
        </is>
      </c>
    </row>
    <row r="10">
      <c r="A10" s="20" t="inlineStr">
        <is>
          <t>经营与产能</t>
        </is>
      </c>
      <c r="B10" s="20" t="inlineStr">
        <is>
          <t>iso9</t>
        </is>
      </c>
      <c r="C10" s="20" t="inlineStr">
        <is>
          <t>iso9</t>
        </is>
      </c>
      <c r="D10" s="20" t="inlineStr">
        <is>
          <t>ISO 9001 质量管理体系</t>
        </is>
      </c>
      <c r="E10" s="20" t="inlineStr">
        <is>
          <t>没有质量体系，绿色做得再好也进不了合格供应商名录。</t>
        </is>
      </c>
      <c r="F10" s="20" t="inlineStr">
        <is>
          <t>大客户供应商准入；每年 6 万维持费</t>
        </is>
      </c>
      <c r="G10" s="63" t="n">
        <v>55</v>
      </c>
      <c r="H10" s="63" t="n">
        <v>1</v>
      </c>
      <c r="I10" s="64">
        <f>IF(H10=0,0,G10/H10)</f>
        <v/>
      </c>
      <c r="J10" s="20" t="inlineStr">
        <is>
          <t>多月项目</t>
        </is>
      </c>
      <c r="K10" s="34" t="inlineStr">
        <is>
          <t>完成时</t>
        </is>
      </c>
      <c r="L10" s="65">
        <f>IF(OR(H10=0,K10&lt;&gt;"按月线性"),0,1/H10)</f>
        <v/>
      </c>
      <c r="M10" s="34" t="n">
        <v>1</v>
      </c>
      <c r="N10" s="20" t="str"/>
      <c r="O10" s="34" t="inlineStr">
        <is>
          <t>否</t>
        </is>
      </c>
      <c r="P10" s="34" t="inlineStr">
        <is>
          <t>否</t>
        </is>
      </c>
      <c r="Q10" s="20" t="inlineStr">
        <is>
          <t>体系</t>
        </is>
      </c>
      <c r="R10" s="34" t="inlineStr">
        <is>
          <t>是</t>
        </is>
      </c>
      <c r="S10" s="20" t="inlineStr">
        <is>
          <t>完整完成后一次生效</t>
        </is>
      </c>
    </row>
    <row r="11">
      <c r="A11" s="20" t="inlineStr">
        <is>
          <t>经营与产能</t>
        </is>
      </c>
      <c r="B11" s="20" t="inlineStr">
        <is>
          <t>iso14</t>
        </is>
      </c>
      <c r="C11" s="20" t="inlineStr">
        <is>
          <t>iso14</t>
        </is>
      </c>
      <c r="D11" s="20" t="inlineStr">
        <is>
          <t>ISO 14001 环境管理体系</t>
        </is>
      </c>
      <c r="E11" s="20" t="inlineStr">
        <is>
          <t>体系认证有年审，也会因环保处罚被暂停。</t>
        </is>
      </c>
      <c r="F11" s="20" t="inlineStr">
        <is>
          <t>大客户与海外客户准入；每年 6 万维持费</t>
        </is>
      </c>
      <c r="G11" s="63" t="n">
        <v>65</v>
      </c>
      <c r="H11" s="63" t="n">
        <v>1</v>
      </c>
      <c r="I11" s="64">
        <f>IF(H11=0,0,G11/H11)</f>
        <v/>
      </c>
      <c r="J11" s="20" t="inlineStr">
        <is>
          <t>多月项目</t>
        </is>
      </c>
      <c r="K11" s="34" t="inlineStr">
        <is>
          <t>完成时</t>
        </is>
      </c>
      <c r="L11" s="65">
        <f>IF(OR(H11=0,K11&lt;&gt;"按月线性"),0,1/H11)</f>
        <v/>
      </c>
      <c r="M11" s="34" t="n">
        <v>1</v>
      </c>
      <c r="N11" s="20" t="str"/>
      <c r="O11" s="34" t="inlineStr">
        <is>
          <t>否</t>
        </is>
      </c>
      <c r="P11" s="34" t="inlineStr">
        <is>
          <t>否</t>
        </is>
      </c>
      <c r="Q11" s="20" t="inlineStr">
        <is>
          <t>体系</t>
        </is>
      </c>
      <c r="R11" s="34" t="inlineStr">
        <is>
          <t>是</t>
        </is>
      </c>
      <c r="S11" s="20" t="inlineStr">
        <is>
          <t>完整完成后一次生效</t>
        </is>
      </c>
    </row>
    <row r="12">
      <c r="A12" s="20" t="inlineStr">
        <is>
          <t>经营与产能</t>
        </is>
      </c>
      <c r="B12" s="20" t="inlineStr">
        <is>
          <t>iso50</t>
        </is>
      </c>
      <c r="C12" s="20" t="inlineStr">
        <is>
          <t>iso50</t>
        </is>
      </c>
      <c r="D12" s="20" t="inlineStr">
        <is>
          <t>ISO 50001 能源管理体系</t>
        </is>
      </c>
      <c r="E12" s="20" t="inlineStr">
        <is>
          <t>需要能碳平台的数据支撑。</t>
        </is>
      </c>
      <c r="F12" s="20" t="inlineStr">
        <is>
          <t>海外客户能源管理要求；绿色评分加分</t>
        </is>
      </c>
      <c r="G12" s="63" t="n">
        <v>70</v>
      </c>
      <c r="H12" s="63" t="n">
        <v>1</v>
      </c>
      <c r="I12" s="64">
        <f>IF(H12=0,0,G12/H12)</f>
        <v/>
      </c>
      <c r="J12" s="20" t="inlineStr">
        <is>
          <t>多月项目</t>
        </is>
      </c>
      <c r="K12" s="34" t="inlineStr">
        <is>
          <t>完成时</t>
        </is>
      </c>
      <c r="L12" s="65">
        <f>IF(OR(H12=0,K12&lt;&gt;"按月线性"),0,1/H12)</f>
        <v/>
      </c>
      <c r="M12" s="34" t="n">
        <v>1</v>
      </c>
      <c r="N12" s="20" t="inlineStr">
        <is>
          <t>digital</t>
        </is>
      </c>
      <c r="O12" s="34" t="inlineStr">
        <is>
          <t>否</t>
        </is>
      </c>
      <c r="P12" s="34" t="inlineStr">
        <is>
          <t>否</t>
        </is>
      </c>
      <c r="Q12" s="20" t="inlineStr">
        <is>
          <t>体系</t>
        </is>
      </c>
      <c r="R12" s="34" t="inlineStr">
        <is>
          <t>是</t>
        </is>
      </c>
      <c r="S12" s="20" t="inlineStr">
        <is>
          <t>完整完成后一次生效</t>
        </is>
      </c>
    </row>
    <row r="13">
      <c r="A13" s="20" t="inlineStr">
        <is>
          <t>经营与产能</t>
        </is>
      </c>
      <c r="B13" s="20" t="inlineStr">
        <is>
          <t>credit</t>
        </is>
      </c>
      <c r="C13" s="20" t="inlineStr">
        <is>
          <t>credit</t>
        </is>
      </c>
      <c r="D13" s="20" t="inlineStr">
        <is>
          <t>申请绿色信贷</t>
        </is>
      </c>
      <c r="E13" s="20" t="inlineStr">
        <is>
          <t>获得一笔可用于工厂经营与项目建设的长期贷款。</t>
        </is>
      </c>
      <c r="F13" s="20" t="inlineStr">
        <is>
          <t>现金 +400 万，同时形成 400 万贷款本金；8 年内每年还本付息 62 万</t>
        </is>
      </c>
      <c r="G13" s="63" t="n">
        <v>0</v>
      </c>
      <c r="H13" s="63" t="n">
        <v>0</v>
      </c>
      <c r="I13" s="64">
        <f>IF(H13=0,0,G13/H13)</f>
        <v/>
      </c>
      <c r="J13" s="20" t="inlineStr">
        <is>
          <t>管理事项</t>
        </is>
      </c>
      <c r="K13" s="34" t="inlineStr">
        <is>
          <t>完成时</t>
        </is>
      </c>
      <c r="L13" s="65">
        <f>IF(OR(H13=0,K13&lt;&gt;"按月线性"),0,1/H13)</f>
        <v/>
      </c>
      <c r="M13" s="34" t="n">
        <v>1</v>
      </c>
      <c r="N13" s="20" t="str"/>
      <c r="O13" s="34" t="inlineStr">
        <is>
          <t>否</t>
        </is>
      </c>
      <c r="P13" s="34" t="inlineStr">
        <is>
          <t>否</t>
        </is>
      </c>
      <c r="Q13" s="20" t="inlineStr">
        <is>
          <t>融资</t>
        </is>
      </c>
      <c r="R13" s="34" t="inlineStr">
        <is>
          <t>是</t>
        </is>
      </c>
      <c r="S13" s="20" t="inlineStr">
        <is>
          <t>完整完成后一次生效</t>
        </is>
      </c>
    </row>
    <row r="14">
      <c r="A14" s="20" t="inlineStr">
        <is>
          <t>经营与产能</t>
        </is>
      </c>
      <c r="B14" s="20" t="inlineStr">
        <is>
          <t>brand</t>
        </is>
      </c>
      <c r="C14" s="20" t="inlineStr">
        <is>
          <t>brand</t>
        </is>
      </c>
      <c r="D14" s="20" t="inlineStr">
        <is>
          <t>ESG 品牌与客户沟通</t>
        </is>
      </c>
      <c r="E14" s="20" t="inlineStr">
        <is>
          <t>绿色能力要被客户看见，才会变成订单。</t>
        </is>
      </c>
      <c r="F14" s="20" t="inlineStr">
        <is>
          <t>国内与大客户订单需求 +8%；获评后媒体愿意报道</t>
        </is>
      </c>
      <c r="G14" s="63" t="n">
        <v>120</v>
      </c>
      <c r="H14" s="63" t="n">
        <v>0</v>
      </c>
      <c r="I14" s="64">
        <f>IF(H14=0,0,G14/H14)</f>
        <v/>
      </c>
      <c r="J14" s="20" t="inlineStr">
        <is>
          <t>管理事项</t>
        </is>
      </c>
      <c r="K14" s="34" t="inlineStr">
        <is>
          <t>完成时</t>
        </is>
      </c>
      <c r="L14" s="65">
        <f>IF(OR(H14=0,K14&lt;&gt;"按月线性"),0,1/H14)</f>
        <v/>
      </c>
      <c r="M14" s="34" t="n">
        <v>1</v>
      </c>
      <c r="N14" s="20" t="str"/>
      <c r="O14" s="34" t="inlineStr">
        <is>
          <t>否</t>
        </is>
      </c>
      <c r="P14" s="34" t="inlineStr">
        <is>
          <t>否</t>
        </is>
      </c>
      <c r="Q14" s="20" t="inlineStr">
        <is>
          <t>市场</t>
        </is>
      </c>
      <c r="R14" s="34" t="inlineStr">
        <is>
          <t>是</t>
        </is>
      </c>
      <c r="S14" s="20" t="inlineStr">
        <is>
          <t>完整完成后一次生效</t>
        </is>
      </c>
    </row>
    <row r="15">
      <c r="A15" s="20" t="inlineStr">
        <is>
          <t>能源低碳化</t>
        </is>
      </c>
      <c r="B15" s="20" t="inlineStr">
        <is>
          <t>digital</t>
        </is>
      </c>
      <c r="C15" s="20" t="inlineStr">
        <is>
          <t>ems</t>
        </is>
      </c>
      <c r="D15" s="20" t="inlineStr">
        <is>
          <t>能碳管理平台</t>
        </is>
      </c>
      <c r="E15" s="20" t="inlineStr">
        <is>
          <t>《数字化能碳管理中心建设指南》要求 12 项业务功能。</t>
        </is>
      </c>
      <c r="F15" s="20" t="inlineStr">
        <is>
          <t>全厂用能自动计量，能源费用下降 1.2%；解锁碳足迹核算与绿电直购</t>
        </is>
      </c>
      <c r="G15" s="63" t="n">
        <v>160</v>
      </c>
      <c r="H15" s="63" t="n">
        <v>3</v>
      </c>
      <c r="I15" s="64">
        <f>IF(H15=0,0,G15/H15)</f>
        <v/>
      </c>
      <c r="J15" s="20" t="inlineStr">
        <is>
          <t>多月项目</t>
        </is>
      </c>
      <c r="K15" s="34" t="inlineStr">
        <is>
          <t>按月线性</t>
        </is>
      </c>
      <c r="L15" s="65">
        <f>IF(OR(H15=0,K15&lt;&gt;"按月线性"),0,1/H15)</f>
        <v/>
      </c>
      <c r="M15" s="34" t="n">
        <v>1</v>
      </c>
      <c r="N15" s="20" t="str"/>
      <c r="O15" s="34" t="inlineStr">
        <is>
          <t>否</t>
        </is>
      </c>
      <c r="P15" s="34" t="inlineStr">
        <is>
          <t>否</t>
        </is>
      </c>
      <c r="Q15" s="20" t="inlineStr">
        <is>
          <t>数据</t>
        </is>
      </c>
      <c r="R15" s="34" t="inlineStr">
        <is>
          <t>是</t>
        </is>
      </c>
      <c r="S15" s="20" t="inlineStr">
        <is>
          <t>每施工一个月，按进度比例释放数值成效；完整后才解锁资格和前置条件</t>
        </is>
      </c>
    </row>
    <row r="16">
      <c r="A16" s="20" t="inlineStr">
        <is>
          <t>能源低碳化</t>
        </is>
      </c>
      <c r="B16" s="20" t="inlineStr">
        <is>
          <t>fake</t>
        </is>
      </c>
      <c r="C16" s="20" t="inlineStr">
        <is>
          <t>fake</t>
        </is>
      </c>
      <c r="D16" s="20" t="inlineStr">
        <is>
          <t>做几张漂亮的截图</t>
        </is>
      </c>
      <c r="E16" s="20" t="inlineStr">
        <is>
          <t>现场复核会逐项点开功能、逐月回溯数据。</t>
        </is>
      </c>
      <c r="F16" s="20" t="inlineStr">
        <is>
          <t>能碳平台项暂计分；现场复核有扣分风险</t>
        </is>
      </c>
      <c r="G16" s="63" t="n">
        <v>8</v>
      </c>
      <c r="H16" s="63" t="n">
        <v>0</v>
      </c>
      <c r="I16" s="64">
        <f>IF(H16=0,0,G16/H16)</f>
        <v/>
      </c>
      <c r="J16" s="20" t="inlineStr">
        <is>
          <t>管理事项</t>
        </is>
      </c>
      <c r="K16" s="34" t="inlineStr">
        <is>
          <t>完成时</t>
        </is>
      </c>
      <c r="L16" s="65">
        <f>IF(OR(H16=0,K16&lt;&gt;"按月线性"),0,1/H16)</f>
        <v/>
      </c>
      <c r="M16" s="34" t="n">
        <v>1</v>
      </c>
      <c r="N16" s="20" t="str"/>
      <c r="O16" s="34" t="inlineStr">
        <is>
          <t>否</t>
        </is>
      </c>
      <c r="P16" s="34" t="inlineStr">
        <is>
          <t>否</t>
        </is>
      </c>
      <c r="Q16" s="20" t="inlineStr">
        <is>
          <t>风险</t>
        </is>
      </c>
      <c r="R16" s="34" t="inlineStr">
        <is>
          <t>是</t>
        </is>
      </c>
      <c r="S16" s="20" t="inlineStr">
        <is>
          <t>完整完成后一次生效</t>
        </is>
      </c>
    </row>
    <row r="17">
      <c r="A17" s="20" t="inlineStr">
        <is>
          <t>能源低碳化</t>
        </is>
      </c>
      <c r="B17" s="20" t="inlineStr">
        <is>
          <t>motor</t>
        </is>
      </c>
      <c r="C17" s="20" t="inlineStr">
        <is>
          <t>motor</t>
        </is>
      </c>
      <c r="D17" s="20" t="inlineStr">
        <is>
          <t>高效电机与变压器</t>
        </is>
      </c>
      <c r="E17" s="20" t="inlineStr">
        <is>
          <t>依据节能降碳技术装备推荐目录。</t>
        </is>
      </c>
      <c r="F17" s="20" t="inlineStr">
        <is>
          <t>单位产品电耗 −8%</t>
        </is>
      </c>
      <c r="G17" s="63" t="n">
        <v>180</v>
      </c>
      <c r="H17" s="63" t="n">
        <v>6</v>
      </c>
      <c r="I17" s="64">
        <f>IF(H17=0,0,G17/H17)</f>
        <v/>
      </c>
      <c r="J17" s="20" t="inlineStr">
        <is>
          <t>多月项目</t>
        </is>
      </c>
      <c r="K17" s="34" t="inlineStr">
        <is>
          <t>按月线性</t>
        </is>
      </c>
      <c r="L17" s="65">
        <f>IF(OR(H17=0,K17&lt;&gt;"按月线性"),0,1/H17)</f>
        <v/>
      </c>
      <c r="M17" s="34" t="n">
        <v>1</v>
      </c>
      <c r="N17" s="20" t="str"/>
      <c r="O17" s="34" t="inlineStr">
        <is>
          <t>否</t>
        </is>
      </c>
      <c r="P17" s="34" t="inlineStr">
        <is>
          <t>否</t>
        </is>
      </c>
      <c r="Q17" s="20" t="inlineStr">
        <is>
          <t>节能</t>
        </is>
      </c>
      <c r="R17" s="34" t="inlineStr">
        <is>
          <t>是</t>
        </is>
      </c>
      <c r="S17" s="20" t="inlineStr">
        <is>
          <t>每施工一个月，按进度比例释放数值成效；完整后才解锁资格和前置条件</t>
        </is>
      </c>
    </row>
    <row r="18">
      <c r="A18" s="20" t="inlineStr">
        <is>
          <t>能源低碳化</t>
        </is>
      </c>
      <c r="B18" s="20" t="inlineStr">
        <is>
          <t>energy</t>
        </is>
      </c>
      <c r="C18" s="20" t="inlineStr">
        <is>
          <t>air</t>
        </is>
      </c>
      <c r="D18" s="20" t="inlineStr">
        <is>
          <t>空压系统与余热回收</t>
        </is>
      </c>
      <c r="E18" s="20" t="inlineStr">
        <is>
          <t>工业绿色微电网与重点用能设备能效提升。</t>
        </is>
      </c>
      <c r="F18" s="20" t="inlineStr">
        <is>
          <t>电耗 −5%，天然气 −12%</t>
        </is>
      </c>
      <c r="G18" s="63" t="n">
        <v>150</v>
      </c>
      <c r="H18" s="63" t="n">
        <v>6</v>
      </c>
      <c r="I18" s="64">
        <f>IF(H18=0,0,G18/H18)</f>
        <v/>
      </c>
      <c r="J18" s="20" t="inlineStr">
        <is>
          <t>多月项目</t>
        </is>
      </c>
      <c r="K18" s="34" t="inlineStr">
        <is>
          <t>按月线性</t>
        </is>
      </c>
      <c r="L18" s="65">
        <f>IF(OR(H18=0,K18&lt;&gt;"按月线性"),0,1/H18)</f>
        <v/>
      </c>
      <c r="M18" s="34" t="n">
        <v>1</v>
      </c>
      <c r="N18" s="20" t="str"/>
      <c r="O18" s="34" t="inlineStr">
        <is>
          <t>否</t>
        </is>
      </c>
      <c r="P18" s="34" t="inlineStr">
        <is>
          <t>否</t>
        </is>
      </c>
      <c r="Q18" s="20" t="inlineStr">
        <is>
          <t>节能</t>
        </is>
      </c>
      <c r="R18" s="34" t="inlineStr">
        <is>
          <t>是</t>
        </is>
      </c>
      <c r="S18" s="20" t="inlineStr">
        <is>
          <t>每施工一个月，按进度比例释放数值成效；完整后才解锁资格和前置条件</t>
        </is>
      </c>
    </row>
    <row r="19">
      <c r="A19" s="20" t="inlineStr">
        <is>
          <t>能源低碳化</t>
        </is>
      </c>
      <c r="B19" s="20" t="inlineStr">
        <is>
          <t>boiler</t>
        </is>
      </c>
      <c r="C19" s="20" t="inlineStr">
        <is>
          <t>boiler</t>
        </is>
      </c>
      <c r="D19" s="20" t="inlineStr">
        <is>
          <t>燃气锅炉电气化</t>
        </is>
      </c>
      <c r="E19" s="20" t="inlineStr">
        <is>
          <t>1000℃以下中低温热源改电。</t>
        </is>
      </c>
      <c r="F19" s="20" t="inlineStr">
        <is>
          <t>天然气归零，电耗相应上升；柴油叉车同步电动化；施工当年停产约 15%</t>
        </is>
      </c>
      <c r="G19" s="63" t="n">
        <v>340</v>
      </c>
      <c r="H19" s="63" t="n">
        <v>12</v>
      </c>
      <c r="I19" s="64">
        <f>IF(H19=0,0,G19/H19)</f>
        <v/>
      </c>
      <c r="J19" s="20" t="inlineStr">
        <is>
          <t>多月项目</t>
        </is>
      </c>
      <c r="K19" s="34" t="inlineStr">
        <is>
          <t>按月线性</t>
        </is>
      </c>
      <c r="L19" s="65">
        <f>IF(OR(H19=0,K19&lt;&gt;"按月线性"),0,1/H19)</f>
        <v/>
      </c>
      <c r="M19" s="34" t="n">
        <v>1</v>
      </c>
      <c r="N19" s="20" t="str"/>
      <c r="O19" s="34" t="inlineStr">
        <is>
          <t>否</t>
        </is>
      </c>
      <c r="P19" s="34" t="inlineStr">
        <is>
          <t>否</t>
        </is>
      </c>
      <c r="Q19" s="20" t="inlineStr">
        <is>
          <t>减碳</t>
        </is>
      </c>
      <c r="R19" s="34" t="inlineStr">
        <is>
          <t>是</t>
        </is>
      </c>
      <c r="S19" s="20" t="inlineStr">
        <is>
          <t>每施工一个月，按进度比例释放数值成效；完整后才解锁资格和前置条件</t>
        </is>
      </c>
    </row>
    <row r="20">
      <c r="A20" s="20" t="inlineStr">
        <is>
          <t>能源低碳化</t>
        </is>
      </c>
      <c r="B20" s="20" t="inlineStr">
        <is>
          <t>solar</t>
        </is>
      </c>
      <c r="C20" s="20" t="inlineStr">
        <is>
          <t>pv</t>
        </is>
      </c>
      <c r="D20" s="20" t="inlineStr">
        <is>
          <t>屋顶分布式光伏</t>
        </is>
      </c>
      <c r="E20" s="20" t="inlineStr">
        <is>
          <t>自用光伏可将自用部分电力因子按 0 处理。</t>
        </is>
      </c>
      <c r="F20" s="20" t="inlineStr">
        <is>
          <t>每期年发电 200 万 kWh；初始自用率 80%</t>
        </is>
      </c>
      <c r="G20" s="63" t="n">
        <v>430</v>
      </c>
      <c r="H20" s="63" t="n">
        <v>6</v>
      </c>
      <c r="I20" s="64">
        <f>IF(H20=0,0,G20/H20)</f>
        <v/>
      </c>
      <c r="J20" s="20" t="inlineStr">
        <is>
          <t>多月项目</t>
        </is>
      </c>
      <c r="K20" s="34" t="inlineStr">
        <is>
          <t>按月线性</t>
        </is>
      </c>
      <c r="L20" s="65">
        <f>IF(OR(H20=0,K20&lt;&gt;"按月线性"),0,1/H20)</f>
        <v/>
      </c>
      <c r="M20" s="34" t="n">
        <v>3</v>
      </c>
      <c r="N20" s="20" t="str"/>
      <c r="O20" s="34" t="inlineStr">
        <is>
          <t>否</t>
        </is>
      </c>
      <c r="P20" s="34" t="inlineStr">
        <is>
          <t>否</t>
        </is>
      </c>
      <c r="Q20" s="20" t="inlineStr">
        <is>
          <t>绿电</t>
        </is>
      </c>
      <c r="R20" s="34" t="inlineStr">
        <is>
          <t>是</t>
        </is>
      </c>
      <c r="S20" s="20" t="inlineStr">
        <is>
          <t>每施工一个月，按进度比例释放数值成效；完整后才解锁资格和前置条件</t>
        </is>
      </c>
    </row>
    <row r="21">
      <c r="A21" s="20" t="inlineStr">
        <is>
          <t>能源低碳化</t>
        </is>
      </c>
      <c r="B21" s="20" t="inlineStr">
        <is>
          <t>storage</t>
        </is>
      </c>
      <c r="C21" s="20" t="inlineStr">
        <is>
          <t>ess</t>
        </is>
      </c>
      <c r="D21" s="20" t="inlineStr">
        <is>
          <t>用户侧储能</t>
        </is>
      </c>
      <c r="E21" s="20" t="inlineStr">
        <is>
          <t>储能不产生绿电，只提高绿电利用效率。</t>
        </is>
      </c>
      <c r="F21" s="20" t="inlineStr">
        <is>
          <t>光伏自用率 80%→95%，峰谷套利 +45 万/年；本身几乎不减碳</t>
        </is>
      </c>
      <c r="G21" s="63" t="n">
        <v>240</v>
      </c>
      <c r="H21" s="63" t="n">
        <v>6</v>
      </c>
      <c r="I21" s="64">
        <f>IF(H21=0,0,G21/H21)</f>
        <v/>
      </c>
      <c r="J21" s="20" t="inlineStr">
        <is>
          <t>多月项目</t>
        </is>
      </c>
      <c r="K21" s="34" t="inlineStr">
        <is>
          <t>按月线性</t>
        </is>
      </c>
      <c r="L21" s="65">
        <f>IF(OR(H21=0,K21&lt;&gt;"按月线性"),0,1/H21)</f>
        <v/>
      </c>
      <c r="M21" s="34" t="n">
        <v>1</v>
      </c>
      <c r="N21" s="20" t="inlineStr">
        <is>
          <t>solar</t>
        </is>
      </c>
      <c r="O21" s="34" t="inlineStr">
        <is>
          <t>否</t>
        </is>
      </c>
      <c r="P21" s="34" t="inlineStr">
        <is>
          <t>否</t>
        </is>
      </c>
      <c r="Q21" s="20" t="inlineStr">
        <is>
          <t>配套</t>
        </is>
      </c>
      <c r="R21" s="34" t="inlineStr">
        <is>
          <t>是</t>
        </is>
      </c>
      <c r="S21" s="20" t="inlineStr">
        <is>
          <t>每施工一个月，按进度比例释放数值成效；完整后才解锁资格和前置条件</t>
        </is>
      </c>
    </row>
    <row r="22">
      <c r="A22" s="20" t="inlineStr">
        <is>
          <t>能源低碳化</t>
        </is>
      </c>
      <c r="B22" s="20" t="inlineStr">
        <is>
          <t>greenPower</t>
        </is>
      </c>
      <c r="C22" s="20" t="inlineStr">
        <is>
          <t>ppa</t>
        </is>
      </c>
      <c r="D22" s="20" t="inlineStr">
        <is>
          <t>绿电直购（市场化交易）</t>
        </is>
      </c>
      <c r="E22" s="20" t="inlineStr">
        <is>
          <t>需市场化交易合同与逐月结算凭证。</t>
        </is>
      </c>
      <c r="F22" s="20" t="inlineStr">
        <is>
          <t>外购电排放按 0 计；初始覆盖 70%，另按用电量支付溢价</t>
        </is>
      </c>
      <c r="G22" s="63" t="n">
        <v>180</v>
      </c>
      <c r="H22" s="63" t="n">
        <v>6</v>
      </c>
      <c r="I22" s="64">
        <f>IF(H22=0,0,G22/H22)</f>
        <v/>
      </c>
      <c r="J22" s="20" t="inlineStr">
        <is>
          <t>多月项目</t>
        </is>
      </c>
      <c r="K22" s="34" t="inlineStr">
        <is>
          <t>按月线性</t>
        </is>
      </c>
      <c r="L22" s="65">
        <f>IF(OR(H22=0,K22&lt;&gt;"按月线性"),0,1/H22)</f>
        <v/>
      </c>
      <c r="M22" s="34" t="n">
        <v>1</v>
      </c>
      <c r="N22" s="20" t="inlineStr">
        <is>
          <t>digital</t>
        </is>
      </c>
      <c r="O22" s="34" t="inlineStr">
        <is>
          <t>否</t>
        </is>
      </c>
      <c r="P22" s="34" t="inlineStr">
        <is>
          <t>否</t>
        </is>
      </c>
      <c r="Q22" s="20" t="inlineStr">
        <is>
          <t>绿电</t>
        </is>
      </c>
      <c r="R22" s="34" t="inlineStr">
        <is>
          <t>是</t>
        </is>
      </c>
      <c r="S22" s="20" t="inlineStr">
        <is>
          <t>每施工一个月，按进度比例释放数值成效；完整后才解锁资格和前置条件</t>
        </is>
      </c>
    </row>
    <row r="23">
      <c r="A23" s="20" t="inlineStr">
        <is>
          <t>能源低碳化</t>
        </is>
      </c>
      <c r="B23" s="20" t="inlineStr">
        <is>
          <t>ppa2</t>
        </is>
      </c>
      <c r="C23" s="20" t="inlineStr">
        <is>
          <t>ppa2</t>
        </is>
      </c>
      <c r="D23" s="20" t="inlineStr">
        <is>
          <t>绿电直购扩容至 100%</t>
        </is>
      </c>
      <c r="E23" s="20" t="inlineStr">
        <is>
          <t>全额覆盖通常需要跨省交易或更高价格。</t>
        </is>
      </c>
      <c r="F23" s="20" t="inlineStr">
        <is>
          <t>外购绿电覆盖率 70%→100%</t>
        </is>
      </c>
      <c r="G23" s="63" t="n">
        <v>120</v>
      </c>
      <c r="H23" s="63" t="n">
        <v>6</v>
      </c>
      <c r="I23" s="64">
        <f>IF(H23=0,0,G23/H23)</f>
        <v/>
      </c>
      <c r="J23" s="20" t="inlineStr">
        <is>
          <t>多月项目</t>
        </is>
      </c>
      <c r="K23" s="34" t="inlineStr">
        <is>
          <t>按月线性</t>
        </is>
      </c>
      <c r="L23" s="65">
        <f>IF(OR(H23=0,K23&lt;&gt;"按月线性"),0,1/H23)</f>
        <v/>
      </c>
      <c r="M23" s="34" t="n">
        <v>1</v>
      </c>
      <c r="N23" s="20" t="inlineStr">
        <is>
          <t>greenPower</t>
        </is>
      </c>
      <c r="O23" s="34" t="inlineStr">
        <is>
          <t>否</t>
        </is>
      </c>
      <c r="P23" s="34" t="inlineStr">
        <is>
          <t>否</t>
        </is>
      </c>
      <c r="Q23" s="20" t="inlineStr">
        <is>
          <t>绿电</t>
        </is>
      </c>
      <c r="R23" s="34" t="inlineStr">
        <is>
          <t>是</t>
        </is>
      </c>
      <c r="S23" s="20" t="inlineStr">
        <is>
          <t>每施工一个月，按进度比例释放数值成效；完整后才解锁资格和前置条件</t>
        </is>
      </c>
    </row>
    <row r="24">
      <c r="A24" s="20" t="inlineStr">
        <is>
          <t>能源低碳化</t>
        </is>
      </c>
      <c r="B24" s="20" t="inlineStr">
        <is>
          <t>gec</t>
        </is>
      </c>
      <c r="C24" s="20" t="inlineStr">
        <is>
          <t>gec</t>
        </is>
      </c>
      <c r="D24" s="20" t="inlineStr">
        <is>
          <t>绿证采购（GEC）</t>
        </is>
      </c>
      <c r="E24" s="20" t="inlineStr">
        <is>
          <t>绿证对应电量的排放因子不能按 0 计。</t>
        </is>
      </c>
      <c r="F24" s="20" t="inlineStr">
        <is>
          <t>计入可再生能源利用率；不降低碳排放强度</t>
        </is>
      </c>
      <c r="G24" s="63" t="n">
        <v>0</v>
      </c>
      <c r="H24" s="63" t="n">
        <v>0</v>
      </c>
      <c r="I24" s="64">
        <f>IF(H24=0,0,G24/H24)</f>
        <v/>
      </c>
      <c r="J24" s="20" t="inlineStr">
        <is>
          <t>管理事项</t>
        </is>
      </c>
      <c r="K24" s="34" t="inlineStr">
        <is>
          <t>完成时</t>
        </is>
      </c>
      <c r="L24" s="65">
        <f>IF(OR(H24=0,K24&lt;&gt;"按月线性"),0,1/H24)</f>
        <v/>
      </c>
      <c r="M24" s="34" t="n">
        <v>1</v>
      </c>
      <c r="N24" s="20" t="str"/>
      <c r="O24" s="34" t="inlineStr">
        <is>
          <t>否</t>
        </is>
      </c>
      <c r="P24" s="34" t="inlineStr">
        <is>
          <t>否</t>
        </is>
      </c>
      <c r="Q24" s="20" t="inlineStr">
        <is>
          <t>绿证</t>
        </is>
      </c>
      <c r="R24" s="34" t="inlineStr">
        <is>
          <t>是</t>
        </is>
      </c>
      <c r="S24" s="20" t="inlineStr">
        <is>
          <t>完整完成后一次生效</t>
        </is>
      </c>
    </row>
    <row r="25">
      <c r="A25" s="20" t="inlineStr">
        <is>
          <t>资源高效化</t>
        </is>
      </c>
      <c r="B25" s="20" t="inlineStr">
        <is>
          <t>water</t>
        </is>
      </c>
      <c r="C25" s="20" t="inlineStr">
        <is>
          <t>water</t>
        </is>
      </c>
      <c r="D25" s="20" t="inlineStr">
        <is>
          <t>节水工艺与水平衡测试</t>
        </is>
      </c>
      <c r="E25" s="20" t="inlineStr">
        <is>
          <t>指标：单位产值取水量。</t>
        </is>
      </c>
      <c r="F25" s="20" t="inlineStr">
        <is>
          <t>取水强度达到行业先进水平</t>
        </is>
      </c>
      <c r="G25" s="63" t="n">
        <v>90</v>
      </c>
      <c r="H25" s="63" t="n">
        <v>6</v>
      </c>
      <c r="I25" s="64">
        <f>IF(H25=0,0,G25/H25)</f>
        <v/>
      </c>
      <c r="J25" s="20" t="inlineStr">
        <is>
          <t>多月项目</t>
        </is>
      </c>
      <c r="K25" s="34" t="inlineStr">
        <is>
          <t>按月线性</t>
        </is>
      </c>
      <c r="L25" s="65">
        <f>IF(OR(H25=0,K25&lt;&gt;"按月线性"),0,1/H25)</f>
        <v/>
      </c>
      <c r="M25" s="34" t="n">
        <v>1</v>
      </c>
      <c r="N25" s="20" t="str"/>
      <c r="O25" s="34" t="inlineStr">
        <is>
          <t>否</t>
        </is>
      </c>
      <c r="P25" s="34" t="inlineStr">
        <is>
          <t>否</t>
        </is>
      </c>
      <c r="Q25" s="20" t="inlineStr">
        <is>
          <t>节水</t>
        </is>
      </c>
      <c r="R25" s="34" t="inlineStr">
        <is>
          <t>是</t>
        </is>
      </c>
      <c r="S25" s="20" t="inlineStr">
        <is>
          <t>每施工一个月，按进度比例释放数值成效；完整后才解锁资格和前置条件</t>
        </is>
      </c>
    </row>
    <row r="26">
      <c r="A26" s="20" t="inlineStr">
        <is>
          <t>资源高效化</t>
        </is>
      </c>
      <c r="B26" s="20" t="inlineStr">
        <is>
          <t>reuse</t>
        </is>
      </c>
      <c r="C26" s="20" t="inlineStr">
        <is>
          <t>reuse</t>
        </is>
      </c>
      <c r="D26" s="20" t="inlineStr">
        <is>
          <t>中水回用系统</t>
        </is>
      </c>
      <c r="E26" s="20" t="inlineStr">
        <is>
          <t>指标：工业用水重复利用率。</t>
        </is>
      </c>
      <c r="F26" s="20" t="inlineStr">
        <is>
          <t>工业用水重复利用率大幅提升；一克碳都不减</t>
        </is>
      </c>
      <c r="G26" s="63" t="n">
        <v>130</v>
      </c>
      <c r="H26" s="63" t="n">
        <v>6</v>
      </c>
      <c r="I26" s="64">
        <f>IF(H26=0,0,G26/H26)</f>
        <v/>
      </c>
      <c r="J26" s="20" t="inlineStr">
        <is>
          <t>多月项目</t>
        </is>
      </c>
      <c r="K26" s="34" t="inlineStr">
        <is>
          <t>按月线性</t>
        </is>
      </c>
      <c r="L26" s="65">
        <f>IF(OR(H26=0,K26&lt;&gt;"按月线性"),0,1/H26)</f>
        <v/>
      </c>
      <c r="M26" s="34" t="n">
        <v>1</v>
      </c>
      <c r="N26" s="20" t="str"/>
      <c r="O26" s="34" t="inlineStr">
        <is>
          <t>否</t>
        </is>
      </c>
      <c r="P26" s="34" t="inlineStr">
        <is>
          <t>否</t>
        </is>
      </c>
      <c r="Q26" s="20" t="inlineStr">
        <is>
          <t>循环</t>
        </is>
      </c>
      <c r="R26" s="34" t="inlineStr">
        <is>
          <t>是</t>
        </is>
      </c>
      <c r="S26" s="20" t="inlineStr">
        <is>
          <t>每施工一个月，按进度比例释放数值成效；完整后才解锁资格和前置条件</t>
        </is>
      </c>
    </row>
    <row r="27">
      <c r="A27" s="20" t="inlineStr">
        <is>
          <t>资源高效化</t>
        </is>
      </c>
      <c r="B27" s="20" t="inlineStr">
        <is>
          <t>waste</t>
        </is>
      </c>
      <c r="C27" s="20" t="inlineStr">
        <is>
          <t>solid</t>
        </is>
      </c>
      <c r="D27" s="20" t="inlineStr">
        <is>
          <t>固废资源化协同</t>
        </is>
      </c>
      <c r="E27" s="20" t="inlineStr">
        <is>
          <t>需申报登记表、转移联单、综合利用证明。</t>
        </is>
      </c>
      <c r="F27" s="20" t="inlineStr">
        <is>
          <t>一般工业固废综合利用率提升</t>
        </is>
      </c>
      <c r="G27" s="63" t="n">
        <v>60</v>
      </c>
      <c r="H27" s="63" t="n">
        <v>6</v>
      </c>
      <c r="I27" s="64">
        <f>IF(H27=0,0,G27/H27)</f>
        <v/>
      </c>
      <c r="J27" s="20" t="inlineStr">
        <is>
          <t>多月项目</t>
        </is>
      </c>
      <c r="K27" s="34" t="inlineStr">
        <is>
          <t>按月线性</t>
        </is>
      </c>
      <c r="L27" s="65">
        <f>IF(OR(H27=0,K27&lt;&gt;"按月线性"),0,1/H27)</f>
        <v/>
      </c>
      <c r="M27" s="34" t="n">
        <v>1</v>
      </c>
      <c r="N27" s="20" t="str"/>
      <c r="O27" s="34" t="inlineStr">
        <is>
          <t>否</t>
        </is>
      </c>
      <c r="P27" s="34" t="inlineStr">
        <is>
          <t>否</t>
        </is>
      </c>
      <c r="Q27" s="20" t="inlineStr">
        <is>
          <t>固废</t>
        </is>
      </c>
      <c r="R27" s="34" t="inlineStr">
        <is>
          <t>是</t>
        </is>
      </c>
      <c r="S27" s="20" t="inlineStr">
        <is>
          <t>每施工一个月，按进度比例释放数值成效；完整后才解锁资格和前置条件</t>
        </is>
      </c>
    </row>
    <row r="28">
      <c r="A28" s="20" t="inlineStr">
        <is>
          <t>资源高效化</t>
        </is>
      </c>
      <c r="B28" s="20" t="inlineStr">
        <is>
          <t>material</t>
        </is>
      </c>
      <c r="C28" s="20" t="inlineStr">
        <is>
          <t>mat</t>
        </is>
      </c>
      <c r="D28" s="20" t="inlineStr">
        <is>
          <t>原材料减量与再生料</t>
        </is>
      </c>
      <c r="E28" s="20" t="inlineStr">
        <is>
          <t>非重点行业可用应用案例赋分。</t>
        </is>
      </c>
      <c r="F28" s="20" t="inlineStr">
        <is>
          <t>单位材料成本 −4%，原材料消耗强度下降</t>
        </is>
      </c>
      <c r="G28" s="63" t="n">
        <v>70</v>
      </c>
      <c r="H28" s="63" t="n">
        <v>6</v>
      </c>
      <c r="I28" s="64">
        <f>IF(H28=0,0,G28/H28)</f>
        <v/>
      </c>
      <c r="J28" s="20" t="inlineStr">
        <is>
          <t>多月项目</t>
        </is>
      </c>
      <c r="K28" s="34" t="inlineStr">
        <is>
          <t>按月线性</t>
        </is>
      </c>
      <c r="L28" s="65">
        <f>IF(OR(H28=0,K28&lt;&gt;"按月线性"),0,1/H28)</f>
        <v/>
      </c>
      <c r="M28" s="34" t="n">
        <v>1</v>
      </c>
      <c r="N28" s="20" t="str"/>
      <c r="O28" s="34" t="inlineStr">
        <is>
          <t>否</t>
        </is>
      </c>
      <c r="P28" s="34" t="inlineStr">
        <is>
          <t>否</t>
        </is>
      </c>
      <c r="Q28" s="20" t="inlineStr">
        <is>
          <t>材料</t>
        </is>
      </c>
      <c r="R28" s="34" t="inlineStr">
        <is>
          <t>是</t>
        </is>
      </c>
      <c r="S28" s="20" t="inlineStr">
        <is>
          <t>每施工一个月，按进度比例释放数值成效；完整后才解锁资格和前置条件</t>
        </is>
      </c>
    </row>
    <row r="29">
      <c r="A29" s="20" t="inlineStr">
        <is>
          <t>生产洁净化</t>
        </is>
      </c>
      <c r="B29" s="20" t="inlineStr">
        <is>
          <t>process</t>
        </is>
      </c>
      <c r="C29" s="20" t="inlineStr">
        <is>
          <t>proc</t>
        </is>
      </c>
      <c r="D29" s="20" t="inlineStr">
        <is>
          <t>工艺装备对标升级</t>
        </is>
      </c>
      <c r="E29" s="20" t="inlineStr">
        <is>
          <t>需与近三年发布的推荐目录逐项对标。</t>
        </is>
      </c>
      <c r="F29" s="20" t="inlineStr">
        <is>
          <t>电耗 −6%；设备故障风险显著下降；施工当年停产约 15%</t>
        </is>
      </c>
      <c r="G29" s="63" t="n">
        <v>260</v>
      </c>
      <c r="H29" s="63" t="n">
        <v>12</v>
      </c>
      <c r="I29" s="64">
        <f>IF(H29=0,0,G29/H29)</f>
        <v/>
      </c>
      <c r="J29" s="20" t="inlineStr">
        <is>
          <t>多月项目</t>
        </is>
      </c>
      <c r="K29" s="34" t="inlineStr">
        <is>
          <t>按月线性</t>
        </is>
      </c>
      <c r="L29" s="65">
        <f>IF(OR(H29=0,K29&lt;&gt;"按月线性"),0,1/H29)</f>
        <v/>
      </c>
      <c r="M29" s="34" t="n">
        <v>1</v>
      </c>
      <c r="N29" s="20" t="str"/>
      <c r="O29" s="34" t="inlineStr">
        <is>
          <t>否</t>
        </is>
      </c>
      <c r="P29" s="34" t="inlineStr">
        <is>
          <t>否</t>
        </is>
      </c>
      <c r="Q29" s="20" t="inlineStr">
        <is>
          <t>工艺</t>
        </is>
      </c>
      <c r="R29" s="34" t="inlineStr">
        <is>
          <t>是</t>
        </is>
      </c>
      <c r="S29" s="20" t="inlineStr">
        <is>
          <t>每施工一个月，按进度比例释放数值成效；完整后才解锁资格和前置条件</t>
        </is>
      </c>
    </row>
    <row r="30">
      <c r="A30" s="20" t="inlineStr">
        <is>
          <t>生产洁净化</t>
        </is>
      </c>
      <c r="B30" s="20" t="inlineStr">
        <is>
          <t>pollution</t>
        </is>
      </c>
      <c r="C30" s="20" t="inlineStr">
        <is>
          <t>poll</t>
        </is>
      </c>
      <c r="D30" s="20" t="inlineStr">
        <is>
          <t>污染物深度治理</t>
        </is>
      </c>
      <c r="E30" s="20" t="inlineStr">
        <is>
          <t>需在线监测记录或每季度检测报告。</t>
        </is>
      </c>
      <c r="F30" s="20" t="inlineStr">
        <is>
          <t>排放浓度优于许可限值，环保抽查免罚；消除制冷剂逸散</t>
        </is>
      </c>
      <c r="G30" s="63" t="n">
        <v>140</v>
      </c>
      <c r="H30" s="63" t="n">
        <v>6</v>
      </c>
      <c r="I30" s="64">
        <f>IF(H30=0,0,G30/H30)</f>
        <v/>
      </c>
      <c r="J30" s="20" t="inlineStr">
        <is>
          <t>多月项目</t>
        </is>
      </c>
      <c r="K30" s="34" t="inlineStr">
        <is>
          <t>按月线性</t>
        </is>
      </c>
      <c r="L30" s="65">
        <f>IF(OR(H30=0,K30&lt;&gt;"按月线性"),0,1/H30)</f>
        <v/>
      </c>
      <c r="M30" s="34" t="n">
        <v>1</v>
      </c>
      <c r="N30" s="20" t="str"/>
      <c r="O30" s="34" t="inlineStr">
        <is>
          <t>否</t>
        </is>
      </c>
      <c r="P30" s="34" t="inlineStr">
        <is>
          <t>否</t>
        </is>
      </c>
      <c r="Q30" s="20" t="inlineStr">
        <is>
          <t>治理</t>
        </is>
      </c>
      <c r="R30" s="34" t="inlineStr">
        <is>
          <t>是</t>
        </is>
      </c>
      <c r="S30" s="20" t="inlineStr">
        <is>
          <t>每施工一个月，按进度比例释放数值成效；完整后才解锁资格和前置条件</t>
        </is>
      </c>
    </row>
    <row r="31">
      <c r="A31" s="20" t="inlineStr">
        <is>
          <t>产品绿色化</t>
        </is>
      </c>
      <c r="B31" s="20" t="inlineStr">
        <is>
          <t>design</t>
        </is>
      </c>
      <c r="C31" s="20" t="inlineStr">
        <is>
          <t>design</t>
        </is>
      </c>
      <c r="D31" s="20" t="inlineStr">
        <is>
          <t>产品绿色设计</t>
        </is>
      </c>
      <c r="E31" s="20" t="inlineStr">
        <is>
          <t>依据 GB/T 24256 产品生态设计通则。</t>
        </is>
      </c>
      <c r="F31" s="20" t="inlineStr">
        <is>
          <t>出具生态设计报告，产品更轻、更好拆</t>
        </is>
      </c>
      <c r="G31" s="63" t="n">
        <v>50</v>
      </c>
      <c r="H31" s="63" t="n">
        <v>6</v>
      </c>
      <c r="I31" s="64">
        <f>IF(H31=0,0,G31/H31)</f>
        <v/>
      </c>
      <c r="J31" s="20" t="inlineStr">
        <is>
          <t>多月项目</t>
        </is>
      </c>
      <c r="K31" s="34" t="inlineStr">
        <is>
          <t>完成时</t>
        </is>
      </c>
      <c r="L31" s="65">
        <f>IF(OR(H31=0,K31&lt;&gt;"按月线性"),0,1/H31)</f>
        <v/>
      </c>
      <c r="M31" s="34" t="n">
        <v>1</v>
      </c>
      <c r="N31" s="20" t="str"/>
      <c r="O31" s="34" t="inlineStr">
        <is>
          <t>否</t>
        </is>
      </c>
      <c r="P31" s="34" t="inlineStr">
        <is>
          <t>否</t>
        </is>
      </c>
      <c r="Q31" s="20" t="inlineStr">
        <is>
          <t>设计</t>
        </is>
      </c>
      <c r="R31" s="34" t="inlineStr">
        <is>
          <t>是</t>
        </is>
      </c>
      <c r="S31" s="20" t="inlineStr">
        <is>
          <t>完整完成后一次生效</t>
        </is>
      </c>
    </row>
    <row r="32">
      <c r="A32" s="20" t="inlineStr">
        <is>
          <t>产品绿色化</t>
        </is>
      </c>
      <c r="B32" s="20" t="inlineStr">
        <is>
          <t>cfp</t>
        </is>
      </c>
      <c r="C32" s="20" t="inlineStr">
        <is>
          <t>cfp</t>
        </is>
      </c>
      <c r="D32" s="20" t="inlineStr">
        <is>
          <t>产品碳足迹核算</t>
        </is>
      </c>
      <c r="E32" s="20" t="inlineStr">
        <is>
          <t>依据 GB/T 24067；需先有能碳平台的数据底座。</t>
        </is>
      </c>
      <c r="F32" s="20" t="inlineStr">
        <is>
          <t>出具碳足迹报告——海外订单的准入门票</t>
        </is>
      </c>
      <c r="G32" s="63" t="n">
        <v>60</v>
      </c>
      <c r="H32" s="63" t="n">
        <v>6</v>
      </c>
      <c r="I32" s="64">
        <f>IF(H32=0,0,G32/H32)</f>
        <v/>
      </c>
      <c r="J32" s="20" t="inlineStr">
        <is>
          <t>多月项目</t>
        </is>
      </c>
      <c r="K32" s="34" t="inlineStr">
        <is>
          <t>完成时</t>
        </is>
      </c>
      <c r="L32" s="65">
        <f>IF(OR(H32=0,K32&lt;&gt;"按月线性"),0,1/H32)</f>
        <v/>
      </c>
      <c r="M32" s="34" t="n">
        <v>1</v>
      </c>
      <c r="N32" s="20" t="inlineStr">
        <is>
          <t>digital</t>
        </is>
      </c>
      <c r="O32" s="34" t="inlineStr">
        <is>
          <t>否</t>
        </is>
      </c>
      <c r="P32" s="34" t="inlineStr">
        <is>
          <t>否</t>
        </is>
      </c>
      <c r="Q32" s="20" t="inlineStr">
        <is>
          <t>准入</t>
        </is>
      </c>
      <c r="R32" s="34" t="inlineStr">
        <is>
          <t>是</t>
        </is>
      </c>
      <c r="S32" s="20" t="inlineStr">
        <is>
          <t>完整完成后一次生效</t>
        </is>
      </c>
    </row>
    <row r="33">
      <c r="A33" s="20" t="inlineStr">
        <is>
          <t>产品绿色化</t>
        </is>
      </c>
      <c r="B33" s="20" t="inlineStr">
        <is>
          <t>effp</t>
        </is>
      </c>
      <c r="C33" s="20" t="inlineStr">
        <is>
          <t>effp</t>
        </is>
      </c>
      <c r="D33" s="20" t="inlineStr">
        <is>
          <t>产品能效升级至 2 级</t>
        </is>
      </c>
      <c r="E33" s="20" t="inlineStr">
        <is>
          <t>以现行强制性能效国家标准为准。</t>
        </is>
      </c>
      <c r="F33" s="20" t="inlineStr">
        <is>
          <t>节能产品占比得分；单价 +3 元</t>
        </is>
      </c>
      <c r="G33" s="63" t="n">
        <v>120</v>
      </c>
      <c r="H33" s="63" t="n">
        <v>6</v>
      </c>
      <c r="I33" s="64">
        <f>IF(H33=0,0,G33/H33)</f>
        <v/>
      </c>
      <c r="J33" s="20" t="inlineStr">
        <is>
          <t>多月项目</t>
        </is>
      </c>
      <c r="K33" s="34" t="inlineStr">
        <is>
          <t>按月线性</t>
        </is>
      </c>
      <c r="L33" s="65">
        <f>IF(OR(H33=0,K33&lt;&gt;"按月线性"),0,1/H33)</f>
        <v/>
      </c>
      <c r="M33" s="34" t="n">
        <v>1</v>
      </c>
      <c r="N33" s="20" t="str"/>
      <c r="O33" s="34" t="inlineStr">
        <is>
          <t>否</t>
        </is>
      </c>
      <c r="P33" s="34" t="inlineStr">
        <is>
          <t>否</t>
        </is>
      </c>
      <c r="Q33" s="20" t="inlineStr">
        <is>
          <t>能效</t>
        </is>
      </c>
      <c r="R33" s="34" t="inlineStr">
        <is>
          <t>是</t>
        </is>
      </c>
      <c r="S33" s="20" t="inlineStr">
        <is>
          <t>每施工一个月，按进度比例释放数值成效；完整后才解锁资格和前置条件</t>
        </is>
      </c>
    </row>
    <row r="34">
      <c r="A34" s="20" t="inlineStr">
        <is>
          <t>产品绿色化</t>
        </is>
      </c>
      <c r="B34" s="20" t="inlineStr">
        <is>
          <t>supplier</t>
        </is>
      </c>
      <c r="C34" s="20" t="inlineStr">
        <is>
          <t>chain</t>
        </is>
      </c>
      <c r="D34" s="20" t="inlineStr">
        <is>
          <t>供应链碳协同</t>
        </is>
      </c>
      <c r="E34" s="20" t="inlineStr">
        <is>
          <t>II 型零碳工厂覆盖范围一、二、三。</t>
        </is>
      </c>
      <c r="F34" s="20" t="inlineStr">
        <is>
          <t>具备申报 II 型零碳工厂资格；大客户订单 +10%</t>
        </is>
      </c>
      <c r="G34" s="63" t="n">
        <v>150</v>
      </c>
      <c r="H34" s="63" t="n">
        <v>6</v>
      </c>
      <c r="I34" s="64">
        <f>IF(H34=0,0,G34/H34)</f>
        <v/>
      </c>
      <c r="J34" s="20" t="inlineStr">
        <is>
          <t>多月项目</t>
        </is>
      </c>
      <c r="K34" s="34" t="inlineStr">
        <is>
          <t>按月线性</t>
        </is>
      </c>
      <c r="L34" s="65">
        <f>IF(OR(H34=0,K34&lt;&gt;"按月线性"),0,1/H34)</f>
        <v/>
      </c>
      <c r="M34" s="34" t="n">
        <v>1</v>
      </c>
      <c r="N34" s="20" t="inlineStr">
        <is>
          <t>cfp</t>
        </is>
      </c>
      <c r="O34" s="34" t="inlineStr">
        <is>
          <t>否</t>
        </is>
      </c>
      <c r="P34" s="34" t="inlineStr">
        <is>
          <t>否</t>
        </is>
      </c>
      <c r="Q34" s="20" t="inlineStr">
        <is>
          <t>协同</t>
        </is>
      </c>
      <c r="R34" s="34" t="inlineStr">
        <is>
          <t>是</t>
        </is>
      </c>
      <c r="S34" s="20" t="inlineStr">
        <is>
          <t>每施工一个月，按进度比例释放数值成效；完整后才解锁资格和前置条件</t>
        </is>
      </c>
    </row>
    <row r="35">
      <c r="A35" s="20" t="inlineStr">
        <is>
          <t>用地集约化</t>
        </is>
      </c>
      <c r="B35" s="20" t="inlineStr">
        <is>
          <t>land</t>
        </is>
      </c>
      <c r="C35" s="20" t="inlineStr">
        <is>
          <t>land</t>
        </is>
      </c>
      <c r="D35" s="20" t="inlineStr">
        <is>
          <t>立体仓储与厂区提容</t>
        </is>
      </c>
      <c r="E35" s="20" t="inlineStr">
        <is>
          <t>指标：土地产出率。</t>
        </is>
      </c>
      <c r="F35" s="20" t="inlineStr">
        <is>
          <t>容积率与单位用地面积产值提升</t>
        </is>
      </c>
      <c r="G35" s="63" t="n">
        <v>200</v>
      </c>
      <c r="H35" s="63" t="n">
        <v>6</v>
      </c>
      <c r="I35" s="64">
        <f>IF(H35=0,0,G35/H35)</f>
        <v/>
      </c>
      <c r="J35" s="20" t="inlineStr">
        <is>
          <t>多月项目</t>
        </is>
      </c>
      <c r="K35" s="34" t="inlineStr">
        <is>
          <t>按月线性</t>
        </is>
      </c>
      <c r="L35" s="65">
        <f>IF(OR(H35=0,K35&lt;&gt;"按月线性"),0,1/H35)</f>
        <v/>
      </c>
      <c r="M35" s="34" t="n">
        <v>1</v>
      </c>
      <c r="N35" s="20" t="str"/>
      <c r="O35" s="34" t="inlineStr">
        <is>
          <t>否</t>
        </is>
      </c>
      <c r="P35" s="34" t="inlineStr">
        <is>
          <t>否</t>
        </is>
      </c>
      <c r="Q35" s="20" t="inlineStr">
        <is>
          <t>用地</t>
        </is>
      </c>
      <c r="R35" s="34" t="inlineStr">
        <is>
          <t>是</t>
        </is>
      </c>
      <c r="S35" s="20" t="inlineStr">
        <is>
          <t>每施工一个月，按进度比例释放数值成效；完整后才解锁资格和前置条件</t>
        </is>
      </c>
    </row>
    <row r="36">
      <c r="A36" s="20" t="inlineStr">
        <is>
          <t>申报与认证</t>
        </is>
      </c>
      <c r="B36" s="20" t="inlineStr">
        <is>
          <t>apply</t>
        </is>
      </c>
      <c r="C36" s="20" t="inlineStr">
        <is>
          <t>apply</t>
        </is>
      </c>
      <c r="D36" s="20" t="inlineStr">
        <is>
          <t>启动绿色工厂申报</t>
        </is>
      </c>
      <c r="E36" s="20" t="inlineStr">
        <is>
          <t>区级初审 → 市级评审与现场复核 → 省级遴选 → 国家级复核。</t>
        </is>
      </c>
      <c r="F36" s="20" t="inlineStr">
        <is>
          <t>进入材料评审与现场复核；获评后逐年复评晋级</t>
        </is>
      </c>
      <c r="G36" s="63" t="n">
        <v>0</v>
      </c>
      <c r="H36" s="63" t="n">
        <v>0</v>
      </c>
      <c r="I36" s="64">
        <f>IF(H36=0,0,G36/H36)</f>
        <v/>
      </c>
      <c r="J36" s="20" t="inlineStr">
        <is>
          <t>管理事项</t>
        </is>
      </c>
      <c r="K36" s="34" t="inlineStr">
        <is>
          <t>完成时</t>
        </is>
      </c>
      <c r="L36" s="65">
        <f>IF(OR(H36=0,K36&lt;&gt;"按月线性"),0,1/H36)</f>
        <v/>
      </c>
      <c r="M36" s="34" t="n">
        <v>1</v>
      </c>
      <c r="N36" s="20" t="str"/>
      <c r="O36" s="34" t="inlineStr">
        <is>
          <t>否</t>
        </is>
      </c>
      <c r="P36" s="34" t="inlineStr">
        <is>
          <t>否</t>
        </is>
      </c>
      <c r="Q36" s="20" t="inlineStr">
        <is>
          <t>认证</t>
        </is>
      </c>
      <c r="R36" s="34" t="inlineStr">
        <is>
          <t>是</t>
        </is>
      </c>
      <c r="S36" s="20" t="inlineStr">
        <is>
          <t>完整完成后一次生效</t>
        </is>
      </c>
    </row>
    <row r="37">
      <c r="A37" s="20" t="inlineStr">
        <is>
          <t>申报与认证</t>
        </is>
      </c>
      <c r="B37" s="20" t="inlineStr">
        <is>
          <t>bribe</t>
        </is>
      </c>
      <c r="C37" s="20" t="inlineStr">
        <is>
          <t>bribe</t>
        </is>
      </c>
      <c r="D37" s="20" t="inlineStr">
        <is>
          <t>找关系疏通评审</t>
        </is>
      </c>
      <c r="E37" s="20" t="inlineStr">
        <is>
          <t>真实世界里这一条不叫捷径，叫风险敞口。</t>
        </is>
      </c>
      <c r="F37" s="20" t="inlineStr">
        <is>
          <t>评审时暂加 12 分；此后每年可能被追责</t>
        </is>
      </c>
      <c r="G37" s="63" t="n">
        <v>90</v>
      </c>
      <c r="H37" s="63" t="n">
        <v>0</v>
      </c>
      <c r="I37" s="64">
        <f>IF(H37=0,0,G37/H37)</f>
        <v/>
      </c>
      <c r="J37" s="20" t="inlineStr">
        <is>
          <t>管理事项</t>
        </is>
      </c>
      <c r="K37" s="34" t="inlineStr">
        <is>
          <t>完成时</t>
        </is>
      </c>
      <c r="L37" s="65">
        <f>IF(OR(H37=0,K37&lt;&gt;"按月线性"),0,1/H37)</f>
        <v/>
      </c>
      <c r="M37" s="34" t="n">
        <v>1</v>
      </c>
      <c r="N37" s="20" t="str"/>
      <c r="O37" s="34" t="inlineStr">
        <is>
          <t>否</t>
        </is>
      </c>
      <c r="P37" s="34" t="inlineStr">
        <is>
          <t>否</t>
        </is>
      </c>
      <c r="Q37" s="20" t="inlineStr">
        <is>
          <t>风险</t>
        </is>
      </c>
      <c r="R37" s="34" t="inlineStr">
        <is>
          <t>是</t>
        </is>
      </c>
      <c r="S37" s="20" t="inlineStr">
        <is>
          <t>完整完成后一次生效</t>
        </is>
      </c>
    </row>
    <row r="38">
      <c r="A38" s="20" t="inlineStr">
        <is>
          <t>申报与认证</t>
        </is>
      </c>
      <c r="B38" s="20" t="inlineStr">
        <is>
          <t>cert</t>
        </is>
      </c>
      <c r="C38" s="20" t="inlineStr">
        <is>
          <t>cert</t>
        </is>
      </c>
      <c r="D38" s="20" t="inlineStr">
        <is>
          <t>冲刺零碳工厂认证</t>
        </is>
      </c>
      <c r="E38" s="20" t="inlineStr">
        <is>
          <t>剩余排放用碳信用抵消，申请第三方评价。</t>
        </is>
      </c>
      <c r="F38" s="20" t="inlineStr">
        <is>
          <t>按剩余排放量支付抵消与评价成本</t>
        </is>
      </c>
      <c r="G38" s="63" t="n">
        <v>0</v>
      </c>
      <c r="H38" s="63" t="n">
        <v>0</v>
      </c>
      <c r="I38" s="64">
        <f>IF(H38=0,0,G38/H38)</f>
        <v/>
      </c>
      <c r="J38" s="20" t="inlineStr">
        <is>
          <t>管理事项</t>
        </is>
      </c>
      <c r="K38" s="34" t="inlineStr">
        <is>
          <t>完成时</t>
        </is>
      </c>
      <c r="L38" s="65">
        <f>IF(OR(H38=0,K38&lt;&gt;"按月线性"),0,1/H38)</f>
        <v/>
      </c>
      <c r="M38" s="34" t="n">
        <v>1</v>
      </c>
      <c r="N38" s="20" t="inlineStr">
        <is>
          <t>apply</t>
        </is>
      </c>
      <c r="O38" s="34" t="inlineStr">
        <is>
          <t>否</t>
        </is>
      </c>
      <c r="P38" s="34" t="inlineStr">
        <is>
          <t>是</t>
        </is>
      </c>
      <c r="Q38" s="20" t="inlineStr">
        <is>
          <t>零碳</t>
        </is>
      </c>
      <c r="R38" s="34" t="inlineStr">
        <is>
          <t>是</t>
        </is>
      </c>
      <c r="S38" s="20" t="inlineStr">
        <is>
          <t>完整完成后一次生效</t>
        </is>
      </c>
    </row>
  </sheetData>
  <mergeCells count="2">
    <mergeCell ref="A3:S3"/>
    <mergeCell ref="A2:S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68873"/>
    <outlinePr summaryBelow="1" summaryRight="1"/>
    <pageSetUpPr/>
  </sheetPr>
  <dimension ref="A2:I14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2" customWidth="1" min="1" max="1"/>
    <col width="24" customWidth="1" min="2" max="2"/>
    <col width="58" customWidth="1" min="3" max="3"/>
    <col width="14" customWidth="1" min="4" max="4"/>
    <col width="14" customWidth="1" min="5" max="5"/>
    <col width="14" customWidth="1" min="6" max="6"/>
    <col width="24" customWidth="1" min="7" max="7"/>
    <col width="10" customWidth="1" min="8" max="8"/>
    <col width="34" customWidth="1" min="9" max="9"/>
  </cols>
  <sheetData>
    <row r="2">
      <c r="A2" s="1" t="inlineStr">
        <is>
          <t>日常行动</t>
        </is>
      </c>
    </row>
    <row r="3">
      <c r="A3" s="3" t="inlineStr">
        <is>
          <t>行动ID、名称、场景和备注为锁定结构；黄色格可修改日志文案、压力、好感、随机权重与启用状态。</t>
        </is>
      </c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</row>
    <row r="5">
      <c r="A5" s="12" t="inlineStr">
        <is>
          <t>行动ID</t>
        </is>
      </c>
      <c r="B5" s="24" t="inlineStr">
        <is>
          <t>行动名称</t>
        </is>
      </c>
      <c r="C5" s="24" t="inlineStr">
        <is>
          <t>日志文案</t>
        </is>
      </c>
      <c r="D5" s="24" t="inlineStr">
        <is>
          <t>压力变化</t>
        </is>
      </c>
      <c r="E5" s="24" t="inlineStr">
        <is>
          <t>好感变化</t>
        </is>
      </c>
      <c r="F5" s="24" t="inlineStr">
        <is>
          <t>出现权重</t>
        </is>
      </c>
      <c r="G5" s="24" t="inlineStr">
        <is>
          <t>使用场景</t>
        </is>
      </c>
      <c r="H5" s="24" t="inlineStr">
        <is>
          <t>启用</t>
        </is>
      </c>
      <c r="I5" s="13" t="inlineStr">
        <is>
          <t>备注</t>
        </is>
      </c>
    </row>
    <row r="6">
      <c r="A6" s="20" t="inlineStr">
        <is>
          <t>idle_month</t>
        </is>
      </c>
      <c r="B6" s="20" t="inlineStr">
        <is>
          <t>摸鱼 / 空过</t>
        </is>
      </c>
      <c r="C6" s="34" t="inlineStr">
        <is>
          <t>这个月不启动新项目，维持日常生产经营。</t>
        </is>
      </c>
      <c r="D6" s="34" t="n">
        <v>-10</v>
      </c>
      <c r="E6" s="34" t="n">
        <v>0</v>
      </c>
      <c r="F6" s="34" t="n">
        <v>100</v>
      </c>
      <c r="G6" s="20" t="inlineStr">
        <is>
          <t>每月项目安排</t>
        </is>
      </c>
      <c r="H6" s="34" t="inlineStr">
        <is>
          <t>是</t>
        </is>
      </c>
      <c r="I6" s="20" t="inlineStr">
        <is>
          <t>不消耗自由行动；经营现金流正常结算</t>
        </is>
      </c>
    </row>
    <row r="7">
      <c r="A7" s="20" t="inlineStr">
        <is>
          <t>walk</t>
        </is>
      </c>
      <c r="B7" s="20" t="inlineStr">
        <is>
          <t>午间散步</t>
        </is>
      </c>
      <c r="C7" s="34" t="inlineStr">
        <is>
          <t>沿厂区走了一圈，头脑清醒了一些。</t>
        </is>
      </c>
      <c r="D7" s="34" t="n">
        <v>-10</v>
      </c>
      <c r="E7" s="34" t="n">
        <v>0</v>
      </c>
      <c r="F7" s="34" t="n">
        <v>100</v>
      </c>
      <c r="G7" s="20" t="inlineStr">
        <is>
          <t>自由行动</t>
        </is>
      </c>
      <c r="H7" s="34" t="inlineStr">
        <is>
          <t>是</t>
        </is>
      </c>
      <c r="I7" s="20" t="str"/>
    </row>
    <row r="8">
      <c r="A8" s="20" t="inlineStr">
        <is>
          <t>meeting_speak</t>
        </is>
      </c>
      <c r="B8" s="20" t="inlineStr">
        <is>
          <t>小会：临时发言</t>
        </is>
      </c>
      <c r="C8" s="34" t="inlineStr">
        <is>
          <t>临时被点名发言，会议结束后仍有些紧绷。</t>
        </is>
      </c>
      <c r="D8" s="34" t="n">
        <v>8</v>
      </c>
      <c r="E8" s="34" t="n">
        <v>0</v>
      </c>
      <c r="F8" s="34" t="n">
        <v>50</v>
      </c>
      <c r="G8" s="20" t="inlineStr">
        <is>
          <t>自由行动随机分支</t>
        </is>
      </c>
      <c r="H8" s="34" t="inlineStr">
        <is>
          <t>是</t>
        </is>
      </c>
      <c r="I8" s="20" t="inlineStr">
        <is>
          <t>与 meeting_listen 的权重相对计算</t>
        </is>
      </c>
    </row>
    <row r="9">
      <c r="A9" s="20" t="inlineStr">
        <is>
          <t>meeting_listen</t>
        </is>
      </c>
      <c r="B9" s="20" t="inlineStr">
        <is>
          <t>小会：旁听</t>
        </is>
      </c>
      <c r="C9" s="34" t="inlineStr">
        <is>
          <t>以旁听为主，理清了接下来的工作。</t>
        </is>
      </c>
      <c r="D9" s="34" t="n">
        <v>-5</v>
      </c>
      <c r="E9" s="34" t="n">
        <v>0</v>
      </c>
      <c r="F9" s="34" t="n">
        <v>50</v>
      </c>
      <c r="G9" s="20" t="inlineStr">
        <is>
          <t>自由行动随机分支</t>
        </is>
      </c>
      <c r="H9" s="34" t="inlineStr">
        <is>
          <t>是</t>
        </is>
      </c>
      <c r="I9" s="20" t="inlineStr">
        <is>
          <t>与 meeting_speak 的权重相对计算</t>
        </is>
      </c>
    </row>
    <row r="10">
      <c r="A10" s="20" t="inlineStr">
        <is>
          <t>chat_leader</t>
        </is>
      </c>
      <c r="B10" s="20" t="inlineStr">
        <is>
          <t>与领导闲聊</t>
        </is>
      </c>
      <c r="C10" s="34" t="inlineStr">
        <is>
          <t>分管领导问了问这个季度的经营重点，也提醒要把项目节奏讲清楚。</t>
        </is>
      </c>
      <c r="D10" s="34" t="n">
        <v>5</v>
      </c>
      <c r="E10" s="34" t="n">
        <v>5</v>
      </c>
      <c r="F10" s="34" t="n">
        <v>100</v>
      </c>
      <c r="G10" s="20" t="inlineStr">
        <is>
          <t>闲聊对象规则</t>
        </is>
      </c>
      <c r="H10" s="34" t="inlineStr">
        <is>
          <t>是</t>
        </is>
      </c>
      <c r="I10" s="20" t="inlineStr">
        <is>
          <t>领导始终使用此行</t>
        </is>
      </c>
    </row>
    <row r="11">
      <c r="A11" s="20" t="inlineStr">
        <is>
          <t>chat_subordinate_unfamiliar</t>
        </is>
      </c>
      <c r="B11" s="20" t="inlineStr">
        <is>
          <t>与不熟的下属闲聊</t>
        </is>
      </c>
      <c r="C11" s="34" t="inlineStr">
        <is>
          <t>聊了聊近期工作与现场情况。</t>
        </is>
      </c>
      <c r="D11" s="34" t="n">
        <v>5</v>
      </c>
      <c r="E11" s="34" t="n">
        <v>5</v>
      </c>
      <c r="F11" s="34" t="n">
        <v>100</v>
      </c>
      <c r="G11" s="20" t="inlineStr">
        <is>
          <t>闲聊对象规则</t>
        </is>
      </c>
      <c r="H11" s="34" t="inlineStr">
        <is>
          <t>是</t>
        </is>
      </c>
      <c r="I11" s="20" t="inlineStr">
        <is>
          <t>关系值低于60</t>
        </is>
      </c>
    </row>
    <row r="12">
      <c r="A12" s="20" t="inlineStr">
        <is>
          <t>chat_subordinate_familiar</t>
        </is>
      </c>
      <c r="B12" s="20" t="inlineStr">
        <is>
          <t>与熟络的下属闲聊</t>
        </is>
      </c>
      <c r="C12" s="34" t="inlineStr">
        <is>
          <t>聊了聊近期工作与现场情况。</t>
        </is>
      </c>
      <c r="D12" s="34" t="n">
        <v>-8</v>
      </c>
      <c r="E12" s="34" t="n">
        <v>5</v>
      </c>
      <c r="F12" s="34" t="n">
        <v>100</v>
      </c>
      <c r="G12" s="20" t="inlineStr">
        <is>
          <t>闲聊对象规则</t>
        </is>
      </c>
      <c r="H12" s="34" t="inlineStr">
        <is>
          <t>是</t>
        </is>
      </c>
      <c r="I12" s="20" t="inlineStr">
        <is>
          <t>关系值达到60</t>
        </is>
      </c>
    </row>
    <row r="13">
      <c r="A13" s="20" t="inlineStr">
        <is>
          <t>quarter_project</t>
        </is>
      </c>
      <c r="B13" s="20" t="inlineStr">
        <is>
          <t>季度项目压力</t>
        </is>
      </c>
      <c r="C13" s="34" t="inlineStr">
        <is>
          <t>这个季度的项目推进带来额外压力。</t>
        </is>
      </c>
      <c r="D13" s="34" t="n">
        <v>5</v>
      </c>
      <c r="E13" s="34" t="n">
        <v>0</v>
      </c>
      <c r="F13" s="34" t="n">
        <v>100</v>
      </c>
      <c r="G13" s="20" t="inlineStr">
        <is>
          <t>季度结算</t>
        </is>
      </c>
      <c r="H13" s="34" t="inlineStr">
        <is>
          <t>是</t>
        </is>
      </c>
      <c r="I13" s="20" t="inlineStr">
        <is>
          <t>每季度一次</t>
        </is>
      </c>
    </row>
    <row r="14">
      <c r="A14" s="20" t="inlineStr">
        <is>
          <t>quarter_holiday</t>
        </is>
      </c>
      <c r="B14" s="20" t="inlineStr">
        <is>
          <t>季度小长假</t>
        </is>
      </c>
      <c r="C14" s="34" t="inlineStr">
        <is>
          <t>小长假让身心得到休息。</t>
        </is>
      </c>
      <c r="D14" s="34" t="n">
        <v>-15</v>
      </c>
      <c r="E14" s="34" t="n">
        <v>0</v>
      </c>
      <c r="F14" s="34" t="n">
        <v>100</v>
      </c>
      <c r="G14" s="20" t="inlineStr">
        <is>
          <t>季度结算</t>
        </is>
      </c>
      <c r="H14" s="34" t="inlineStr">
        <is>
          <t>是</t>
        </is>
      </c>
      <c r="I14" s="20" t="inlineStr">
        <is>
          <t>每季度一次</t>
        </is>
      </c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668873"/>
    <outlinePr summaryBelow="1" summaryRight="1"/>
    <pageSetUpPr/>
  </sheetPr>
  <dimension ref="A2:O77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8" customWidth="1" min="4" max="4"/>
    <col width="13" customWidth="1" min="5" max="5"/>
    <col width="15" customWidth="1" min="6" max="6"/>
    <col width="13" customWidth="1" min="7" max="7"/>
    <col width="12" customWidth="1" min="8" max="8"/>
    <col width="12" customWidth="1" min="9" max="9"/>
    <col width="18" customWidth="1" min="10" max="10"/>
    <col width="22" customWidth="1" min="11" max="11"/>
    <col width="12" customWidth="1" min="12" max="12"/>
    <col width="14" customWidth="1" min="13" max="13"/>
    <col width="10" customWidth="1" min="14" max="14"/>
    <col width="42" customWidth="1" min="15" max="15"/>
  </cols>
  <sheetData>
    <row r="2">
      <c r="A2" s="1" t="inlineStr">
        <is>
          <t>日常事件</t>
        </is>
      </c>
    </row>
    <row r="3">
      <c r="A3" s="3" t="inlineStr">
        <is>
          <t>先按经营参数抽取本季度 0/1/2 条，再分配到不同月份；每月最多一条。黄色字段可改，权重只在当月符合条件的候选事件之间比较。</t>
        </is>
      </c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</row>
    <row r="5">
      <c r="A5" s="12" t="inlineStr">
        <is>
          <t>事件ID</t>
        </is>
      </c>
      <c r="B5" s="24" t="inlineStr">
        <is>
          <t>分类</t>
        </is>
      </c>
      <c r="C5" s="24" t="inlineStr">
        <is>
          <t>标题</t>
        </is>
      </c>
      <c r="D5" s="24" t="inlineStr">
        <is>
          <t>正文</t>
        </is>
      </c>
      <c r="E5" s="24" t="inlineStr">
        <is>
          <t>季节条件</t>
        </is>
      </c>
      <c r="F5" s="24" t="inlineStr">
        <is>
          <t>天气条件</t>
        </is>
      </c>
      <c r="G5" s="24" t="inlineStr">
        <is>
          <t>月份条件</t>
        </is>
      </c>
      <c r="H5" s="24" t="inlineStr">
        <is>
          <t>最早年份</t>
        </is>
      </c>
      <c r="I5" s="24" t="inlineStr">
        <is>
          <t>仅第一年</t>
        </is>
      </c>
      <c r="J5" s="24" t="inlineStr">
        <is>
          <t>前置项目ID</t>
        </is>
      </c>
      <c r="K5" s="24" t="inlineStr">
        <is>
          <t>任一前置项目ID</t>
        </is>
      </c>
      <c r="L5" s="24" t="inlineStr">
        <is>
          <t>出现权重</t>
        </is>
      </c>
      <c r="M5" s="24" t="inlineStr">
        <is>
          <t>是否一次性</t>
        </is>
      </c>
      <c r="N5" s="24" t="inlineStr">
        <is>
          <t>启用</t>
        </is>
      </c>
      <c r="O5" s="13" t="inlineStr">
        <is>
          <t>备注</t>
        </is>
      </c>
    </row>
    <row r="6">
      <c r="A6" s="20" t="inlineStr">
        <is>
          <t>A01</t>
        </is>
      </c>
      <c r="B6" s="20" t="inlineStr">
        <is>
          <t>厂区的四季</t>
        </is>
      </c>
      <c r="C6" s="34" t="inlineStr">
        <is>
          <t>门口的花</t>
        </is>
      </c>
      <c r="D6" s="34" t="inlineStr">
        <is>
          <t>门卫室旁边的花开了。你路过时才发现，原来那片不起眼的角落已经热闹了好几天。</t>
        </is>
      </c>
      <c r="E6" s="34" t="inlineStr">
        <is>
          <t>春季</t>
        </is>
      </c>
      <c r="F6" s="34" t="str"/>
      <c r="G6" s="34" t="str"/>
      <c r="H6" s="34" t="str"/>
      <c r="I6" s="34" t="inlineStr">
        <is>
          <t>否</t>
        </is>
      </c>
      <c r="J6" s="34" t="str"/>
      <c r="K6" s="34" t="str"/>
      <c r="L6" s="66" t="n">
        <v>130</v>
      </c>
      <c r="M6" s="34" t="inlineStr">
        <is>
          <t>是</t>
        </is>
      </c>
      <c r="N6" s="34" t="inlineStr">
        <is>
          <t>是</t>
        </is>
      </c>
      <c r="O6" s="34" t="str"/>
    </row>
    <row r="7">
      <c r="A7" s="20" t="inlineStr">
        <is>
          <t>A02</t>
        </is>
      </c>
      <c r="B7" s="20" t="inlineStr">
        <is>
          <t>厂区的四季</t>
        </is>
      </c>
      <c r="C7" s="34" t="inlineStr">
        <is>
          <t>一场春雨</t>
        </is>
      </c>
      <c r="D7" s="34" t="inlineStr">
        <is>
          <t>雨后的厂区有一股湿润的泥土味。几只麻雀在屋檐下跳来跳去，似乎比工人们还着急开工。</t>
        </is>
      </c>
      <c r="E7" s="34" t="inlineStr">
        <is>
          <t>春季</t>
        </is>
      </c>
      <c r="F7" s="34" t="inlineStr">
        <is>
          <t>雨天或雨后</t>
        </is>
      </c>
      <c r="G7" s="34" t="str"/>
      <c r="H7" s="34" t="str"/>
      <c r="I7" s="34" t="inlineStr">
        <is>
          <t>否</t>
        </is>
      </c>
      <c r="J7" s="34" t="str"/>
      <c r="K7" s="34" t="str"/>
      <c r="L7" s="66" t="n">
        <v>145</v>
      </c>
      <c r="M7" s="34" t="inlineStr">
        <is>
          <t>是</t>
        </is>
      </c>
      <c r="N7" s="34" t="inlineStr">
        <is>
          <t>是</t>
        </is>
      </c>
      <c r="O7" s="34" t="str"/>
    </row>
    <row r="8">
      <c r="A8" s="20" t="inlineStr">
        <is>
          <t>A03</t>
        </is>
      </c>
      <c r="B8" s="20" t="inlineStr">
        <is>
          <t>厂区的四季</t>
        </is>
      </c>
      <c r="C8" s="34" t="inlineStr">
        <is>
          <t>夏天的柏油路</t>
        </is>
      </c>
      <c r="D8" s="34" t="inlineStr">
        <is>
          <t>午后的阳光把厂区道路晒得发亮。远远望过去，路面上的空气似乎也在轻轻晃动。</t>
        </is>
      </c>
      <c r="E8" s="34" t="inlineStr">
        <is>
          <t>夏季</t>
        </is>
      </c>
      <c r="F8" s="34" t="str"/>
      <c r="G8" s="34" t="str"/>
      <c r="H8" s="34" t="str"/>
      <c r="I8" s="34" t="inlineStr">
        <is>
          <t>否</t>
        </is>
      </c>
      <c r="J8" s="34" t="str"/>
      <c r="K8" s="34" t="str"/>
      <c r="L8" s="66" t="n">
        <v>130</v>
      </c>
      <c r="M8" s="34" t="inlineStr">
        <is>
          <t>是</t>
        </is>
      </c>
      <c r="N8" s="34" t="inlineStr">
        <is>
          <t>是</t>
        </is>
      </c>
      <c r="O8" s="34" t="str"/>
    </row>
    <row r="9">
      <c r="A9" s="20" t="inlineStr">
        <is>
          <t>A04</t>
        </is>
      </c>
      <c r="B9" s="20" t="inlineStr">
        <is>
          <t>厂区的四季</t>
        </is>
      </c>
      <c r="C9" s="34" t="inlineStr">
        <is>
          <t>雨停了</t>
        </is>
      </c>
      <c r="D9" s="34" t="inlineStr">
        <is>
          <t>一场大雨刚刚过去，厂区的水洼里倒映着仓库的屋顶。有人经过时特意绕开了它，也有人一脚踩了进去。</t>
        </is>
      </c>
      <c r="E9" s="34" t="str"/>
      <c r="F9" s="34" t="inlineStr">
        <is>
          <t>雨天或雨后</t>
        </is>
      </c>
      <c r="G9" s="34" t="str"/>
      <c r="H9" s="34" t="str"/>
      <c r="I9" s="34" t="inlineStr">
        <is>
          <t>否</t>
        </is>
      </c>
      <c r="J9" s="34" t="str"/>
      <c r="K9" s="34" t="str"/>
      <c r="L9" s="66" t="n">
        <v>140</v>
      </c>
      <c r="M9" s="34" t="inlineStr">
        <is>
          <t>是</t>
        </is>
      </c>
      <c r="N9" s="34" t="inlineStr">
        <is>
          <t>是</t>
        </is>
      </c>
      <c r="O9" s="34" t="str"/>
    </row>
    <row r="10">
      <c r="A10" s="20" t="inlineStr">
        <is>
          <t>A05</t>
        </is>
      </c>
      <c r="B10" s="20" t="inlineStr">
        <is>
          <t>厂区的四季</t>
        </is>
      </c>
      <c r="C10" s="34" t="inlineStr">
        <is>
          <t>第一片黄叶</t>
        </is>
      </c>
      <c r="D10" s="34" t="inlineStr">
        <is>
          <t>办公楼外的树开始落叶了。你发现这件事，是因为有一片叶子正好落在了车前挡风玻璃上。</t>
        </is>
      </c>
      <c r="E10" s="34" t="inlineStr">
        <is>
          <t>秋季</t>
        </is>
      </c>
      <c r="F10" s="34" t="str"/>
      <c r="G10" s="34" t="str"/>
      <c r="H10" s="34" t="str"/>
      <c r="I10" s="34" t="inlineStr">
        <is>
          <t>否</t>
        </is>
      </c>
      <c r="J10" s="34" t="str"/>
      <c r="K10" s="34" t="str"/>
      <c r="L10" s="66" t="n">
        <v>130</v>
      </c>
      <c r="M10" s="34" t="inlineStr">
        <is>
          <t>是</t>
        </is>
      </c>
      <c r="N10" s="34" t="inlineStr">
        <is>
          <t>是</t>
        </is>
      </c>
      <c r="O10" s="34" t="str"/>
    </row>
    <row r="11">
      <c r="A11" s="20" t="inlineStr">
        <is>
          <t>A06</t>
        </is>
      </c>
      <c r="B11" s="20" t="inlineStr">
        <is>
          <t>厂区的四季</t>
        </is>
      </c>
      <c r="C11" s="34" t="inlineStr">
        <is>
          <t>窗外的风</t>
        </is>
      </c>
      <c r="D11" s="34" t="inlineStr">
        <is>
          <t>今天的风很大，办公室窗外的树枝一直晃个不停。下午开会时，有人忍不住朝窗外看了好几次。</t>
        </is>
      </c>
      <c r="E11" s="34" t="inlineStr">
        <is>
          <t>秋季</t>
        </is>
      </c>
      <c r="F11" s="34" t="str"/>
      <c r="G11" s="34" t="str"/>
      <c r="H11" s="34" t="str"/>
      <c r="I11" s="34" t="inlineStr">
        <is>
          <t>否</t>
        </is>
      </c>
      <c r="J11" s="34" t="str"/>
      <c r="K11" s="34" t="str"/>
      <c r="L11" s="66" t="n">
        <v>130</v>
      </c>
      <c r="M11" s="34" t="inlineStr">
        <is>
          <t>是</t>
        </is>
      </c>
      <c r="N11" s="34" t="inlineStr">
        <is>
          <t>是</t>
        </is>
      </c>
      <c r="O11" s="34" t="str"/>
    </row>
    <row r="12">
      <c r="A12" s="20" t="inlineStr">
        <is>
          <t>A07</t>
        </is>
      </c>
      <c r="B12" s="20" t="inlineStr">
        <is>
          <t>厂区的四季</t>
        </is>
      </c>
      <c r="C12" s="34" t="inlineStr">
        <is>
          <t>冬天的早晨</t>
        </is>
      </c>
      <c r="D12" s="34" t="inlineStr">
        <is>
          <t>早班员工陆续走进厂区，有人把双手揣进口袋，有人端着还冒热气的早餐。新的一天就在这样的寒冷里开始了。</t>
        </is>
      </c>
      <c r="E12" s="34" t="inlineStr">
        <is>
          <t>冬季</t>
        </is>
      </c>
      <c r="F12" s="34" t="str"/>
      <c r="G12" s="34" t="str"/>
      <c r="H12" s="34" t="str"/>
      <c r="I12" s="34" t="inlineStr">
        <is>
          <t>否</t>
        </is>
      </c>
      <c r="J12" s="34" t="str"/>
      <c r="K12" s="34" t="str"/>
      <c r="L12" s="66" t="n">
        <v>130</v>
      </c>
      <c r="M12" s="34" t="inlineStr">
        <is>
          <t>是</t>
        </is>
      </c>
      <c r="N12" s="34" t="inlineStr">
        <is>
          <t>是</t>
        </is>
      </c>
      <c r="O12" s="34" t="str"/>
    </row>
    <row r="13">
      <c r="A13" s="20" t="inlineStr">
        <is>
          <t>A08</t>
        </is>
      </c>
      <c r="B13" s="20" t="inlineStr">
        <is>
          <t>厂区的四季</t>
        </is>
      </c>
      <c r="C13" s="34" t="inlineStr">
        <is>
          <t>天黑得早了</t>
        </is>
      </c>
      <c r="D13" s="34" t="inlineStr">
        <is>
          <t>下班时，天已经暗了。办公楼和车间的灯一盏盏亮着，工厂看起来和平时有些不一样。</t>
        </is>
      </c>
      <c r="E13" s="34" t="inlineStr">
        <is>
          <t>秋冬</t>
        </is>
      </c>
      <c r="F13" s="34" t="str"/>
      <c r="G13" s="34" t="str"/>
      <c r="H13" s="34" t="str"/>
      <c r="I13" s="34" t="inlineStr">
        <is>
          <t>否</t>
        </is>
      </c>
      <c r="J13" s="34" t="str"/>
      <c r="K13" s="34" t="str"/>
      <c r="L13" s="66" t="n">
        <v>130</v>
      </c>
      <c r="M13" s="34" t="inlineStr">
        <is>
          <t>是</t>
        </is>
      </c>
      <c r="N13" s="34" t="inlineStr">
        <is>
          <t>是</t>
        </is>
      </c>
      <c r="O13" s="34" t="str"/>
    </row>
    <row r="14">
      <c r="A14" s="20" t="inlineStr">
        <is>
          <t>B01</t>
        </is>
      </c>
      <c r="B14" s="20" t="inlineStr">
        <is>
          <t>生产线旁</t>
        </is>
      </c>
      <c r="C14" s="34" t="inlineStr">
        <is>
          <t>熟悉的声音</t>
        </is>
      </c>
      <c r="D14" s="34" t="inlineStr">
        <is>
          <t>你经过车间时，刘师傅正听着一台设备运转。他说机器开久了，哪怕不看仪表，也能听出和平时有什么不同。</t>
        </is>
      </c>
      <c r="E14" s="34" t="str"/>
      <c r="F14" s="34" t="str"/>
      <c r="G14" s="34" t="str"/>
      <c r="H14" s="34" t="str"/>
      <c r="I14" s="34" t="inlineStr">
        <is>
          <t>否</t>
        </is>
      </c>
      <c r="J14" s="34" t="str"/>
      <c r="K14" s="34" t="str"/>
      <c r="L14" s="66" t="n">
        <v>100</v>
      </c>
      <c r="M14" s="34" t="inlineStr">
        <is>
          <t>是</t>
        </is>
      </c>
      <c r="N14" s="34" t="inlineStr">
        <is>
          <t>是</t>
        </is>
      </c>
      <c r="O14" s="34" t="str"/>
    </row>
    <row r="15">
      <c r="A15" s="20" t="inlineStr">
        <is>
          <t>B02</t>
        </is>
      </c>
      <c r="B15" s="20" t="inlineStr">
        <is>
          <t>生产线旁</t>
        </is>
      </c>
      <c r="C15" s="34" t="inlineStr">
        <is>
          <t>工具抽屉</t>
        </is>
      </c>
      <c r="D15" s="34" t="inlineStr">
        <is>
          <t>陈工打开工具柜，里面的工具排得整整齐齐。他说倒不是有什么讲究，只是找不到工具的时候真的很耽误事。</t>
        </is>
      </c>
      <c r="E15" s="34" t="str"/>
      <c r="F15" s="34" t="str"/>
      <c r="G15" s="34" t="str"/>
      <c r="H15" s="34" t="str"/>
      <c r="I15" s="34" t="inlineStr">
        <is>
          <t>否</t>
        </is>
      </c>
      <c r="J15" s="34" t="str"/>
      <c r="K15" s="34" t="str"/>
      <c r="L15" s="66" t="n">
        <v>100</v>
      </c>
      <c r="M15" s="34" t="inlineStr">
        <is>
          <t>是</t>
        </is>
      </c>
      <c r="N15" s="34" t="inlineStr">
        <is>
          <t>是</t>
        </is>
      </c>
      <c r="O15" s="34" t="str"/>
    </row>
    <row r="16">
      <c r="A16" s="20" t="inlineStr">
        <is>
          <t>B03</t>
        </is>
      </c>
      <c r="B16" s="20" t="inlineStr">
        <is>
          <t>生产线旁</t>
        </is>
      </c>
      <c r="C16" s="34" t="inlineStr">
        <is>
          <t>交接班</t>
        </is>
      </c>
      <c r="D16" s="34" t="inlineStr">
        <is>
          <t>交接班记录本又写满了一页。有人的字工整得像打印出来的，有人的字则需要同班组的人才能认出来。</t>
        </is>
      </c>
      <c r="E16" s="34" t="str"/>
      <c r="F16" s="34" t="str"/>
      <c r="G16" s="34" t="str"/>
      <c r="H16" s="34" t="str"/>
      <c r="I16" s="34" t="inlineStr">
        <is>
          <t>否</t>
        </is>
      </c>
      <c r="J16" s="34" t="str"/>
      <c r="K16" s="34" t="str"/>
      <c r="L16" s="66" t="n">
        <v>100</v>
      </c>
      <c r="M16" s="34" t="inlineStr">
        <is>
          <t>是</t>
        </is>
      </c>
      <c r="N16" s="34" t="inlineStr">
        <is>
          <t>是</t>
        </is>
      </c>
      <c r="O16" s="34" t="str"/>
    </row>
    <row r="17">
      <c r="A17" s="20" t="inlineStr">
        <is>
          <t>B04</t>
        </is>
      </c>
      <c r="B17" s="20" t="inlineStr">
        <is>
          <t>生产线旁</t>
        </is>
      </c>
      <c r="C17" s="34" t="inlineStr">
        <is>
          <t>最后一件产品</t>
        </is>
      </c>
      <c r="D17" s="34" t="inlineStr">
        <is>
          <t>今天一批订单完成了最后一道工序。负责检验的员工在记录上画了一个小小的勾，然后准备迎接下一批产品。</t>
        </is>
      </c>
      <c r="E17" s="34" t="str"/>
      <c r="F17" s="34" t="str"/>
      <c r="G17" s="34" t="str"/>
      <c r="H17" s="34" t="str"/>
      <c r="I17" s="34" t="inlineStr">
        <is>
          <t>否</t>
        </is>
      </c>
      <c r="J17" s="34" t="str"/>
      <c r="K17" s="34" t="str"/>
      <c r="L17" s="66" t="n">
        <v>100</v>
      </c>
      <c r="M17" s="34" t="inlineStr">
        <is>
          <t>是</t>
        </is>
      </c>
      <c r="N17" s="34" t="inlineStr">
        <is>
          <t>是</t>
        </is>
      </c>
      <c r="O17" s="34" t="str"/>
    </row>
    <row r="18">
      <c r="A18" s="20" t="inlineStr">
        <is>
          <t>B05</t>
        </is>
      </c>
      <c r="B18" s="20" t="inlineStr">
        <is>
          <t>生产线旁</t>
        </is>
      </c>
      <c r="C18" s="34" t="inlineStr">
        <is>
          <t>新人的笔记</t>
        </is>
      </c>
      <c r="D18" s="34" t="inlineStr">
        <is>
          <t>新来的员工随身带着一个巴掌大的本子，上面记满了设备编号和操作要点。他说记性不太好，多写几遍总不会错。</t>
        </is>
      </c>
      <c r="E18" s="34" t="str"/>
      <c r="F18" s="34" t="str"/>
      <c r="G18" s="34" t="str"/>
      <c r="H18" s="34" t="str"/>
      <c r="I18" s="34" t="inlineStr">
        <is>
          <t>否</t>
        </is>
      </c>
      <c r="J18" s="34" t="str"/>
      <c r="K18" s="34" t="str"/>
      <c r="L18" s="66" t="n">
        <v>100</v>
      </c>
      <c r="M18" s="34" t="inlineStr">
        <is>
          <t>是</t>
        </is>
      </c>
      <c r="N18" s="34" t="inlineStr">
        <is>
          <t>是</t>
        </is>
      </c>
      <c r="O18" s="34" t="str"/>
    </row>
    <row r="19">
      <c r="A19" s="20" t="inlineStr">
        <is>
          <t>B06</t>
        </is>
      </c>
      <c r="B19" s="20" t="inlineStr">
        <is>
          <t>生产线旁</t>
        </is>
      </c>
      <c r="C19" s="34" t="inlineStr">
        <is>
          <t>保养日</t>
        </is>
      </c>
      <c r="D19" s="34" t="inlineStr">
        <is>
          <t>今天有几台设备按计划停机保养。车间里少了熟悉的机器声，反倒让人一时有些不习惯。</t>
        </is>
      </c>
      <c r="E19" s="34" t="str"/>
      <c r="F19" s="34" t="str"/>
      <c r="G19" s="34" t="str"/>
      <c r="H19" s="34" t="str"/>
      <c r="I19" s="34" t="inlineStr">
        <is>
          <t>否</t>
        </is>
      </c>
      <c r="J19" s="34" t="str"/>
      <c r="K19" s="34" t="str"/>
      <c r="L19" s="66" t="n">
        <v>100</v>
      </c>
      <c r="M19" s="34" t="inlineStr">
        <is>
          <t>是</t>
        </is>
      </c>
      <c r="N19" s="34" t="inlineStr">
        <is>
          <t>是</t>
        </is>
      </c>
      <c r="O19" s="34" t="str"/>
    </row>
    <row r="20">
      <c r="A20" s="20" t="inlineStr">
        <is>
          <t>B07</t>
        </is>
      </c>
      <c r="B20" s="20" t="inlineStr">
        <is>
          <t>生产线旁</t>
        </is>
      </c>
      <c r="C20" s="34" t="inlineStr">
        <is>
          <t>换班时间</t>
        </is>
      </c>
      <c r="D20" s="34" t="inlineStr">
        <is>
          <t>换班前的几分钟，大家陆续在指定区域整理工具、核对记录。上一班的人准备回家，下一班的人刚刚开始一天的工作。</t>
        </is>
      </c>
      <c r="E20" s="34" t="str"/>
      <c r="F20" s="34" t="str"/>
      <c r="G20" s="34" t="str"/>
      <c r="H20" s="34" t="str"/>
      <c r="I20" s="34" t="inlineStr">
        <is>
          <t>否</t>
        </is>
      </c>
      <c r="J20" s="34" t="str"/>
      <c r="K20" s="34" t="str"/>
      <c r="L20" s="66" t="n">
        <v>100</v>
      </c>
      <c r="M20" s="34" t="inlineStr">
        <is>
          <t>是</t>
        </is>
      </c>
      <c r="N20" s="34" t="inlineStr">
        <is>
          <t>是</t>
        </is>
      </c>
      <c r="O20" s="34" t="str"/>
    </row>
    <row r="21">
      <c r="A21" s="20" t="inlineStr">
        <is>
          <t>B08</t>
        </is>
      </c>
      <c r="B21" s="20" t="inlineStr">
        <is>
          <t>生产线旁</t>
        </is>
      </c>
      <c r="C21" s="34" t="inlineStr">
        <is>
          <t>师傅的习惯</t>
        </is>
      </c>
      <c r="D21" s="34" t="inlineStr">
        <is>
          <t>刘师傅每次完成检查，都会把用过的笔放回同一个位置。有人问他为什么，他想了想，说大概是怕自己忘记了。</t>
        </is>
      </c>
      <c r="E21" s="34" t="str"/>
      <c r="F21" s="34" t="str"/>
      <c r="G21" s="34" t="str"/>
      <c r="H21" s="34" t="str"/>
      <c r="I21" s="34" t="inlineStr">
        <is>
          <t>否</t>
        </is>
      </c>
      <c r="J21" s="34" t="str"/>
      <c r="K21" s="34" t="str"/>
      <c r="L21" s="66" t="n">
        <v>100</v>
      </c>
      <c r="M21" s="34" t="inlineStr">
        <is>
          <t>是</t>
        </is>
      </c>
      <c r="N21" s="34" t="inlineStr">
        <is>
          <t>是</t>
        </is>
      </c>
      <c r="O21" s="34" t="str"/>
    </row>
    <row r="22">
      <c r="A22" s="20" t="inlineStr">
        <is>
          <t>C01</t>
        </is>
      </c>
      <c r="B22" s="20" t="inlineStr">
        <is>
          <t>熟悉的人</t>
        </is>
      </c>
      <c r="C22" s="34" t="inlineStr">
        <is>
          <t>陈工的图纸</t>
        </is>
      </c>
      <c r="D22" s="34" t="inlineStr">
        <is>
          <t>陈工又在一张图纸边上写满了注释。你问他是不是还有问题没解决，他说：“问题倒不大，就是还能再改改。”</t>
        </is>
      </c>
      <c r="E22" s="34" t="str"/>
      <c r="F22" s="34" t="str"/>
      <c r="G22" s="34" t="str"/>
      <c r="H22" s="34" t="str"/>
      <c r="I22" s="34" t="inlineStr">
        <is>
          <t>否</t>
        </is>
      </c>
      <c r="J22" s="34" t="str"/>
      <c r="K22" s="34" t="str"/>
      <c r="L22" s="66" t="n">
        <v>100</v>
      </c>
      <c r="M22" s="34" t="inlineStr">
        <is>
          <t>是</t>
        </is>
      </c>
      <c r="N22" s="34" t="inlineStr">
        <is>
          <t>是</t>
        </is>
      </c>
      <c r="O22" s="34" t="str"/>
    </row>
    <row r="23">
      <c r="A23" s="20" t="inlineStr">
        <is>
          <t>C02</t>
        </is>
      </c>
      <c r="B23" s="20" t="inlineStr">
        <is>
          <t>熟悉的人</t>
        </is>
      </c>
      <c r="C23" s="34" t="inlineStr">
        <is>
          <t>林经理的数字</t>
        </is>
      </c>
      <c r="D23" s="34" t="inlineStr">
        <is>
          <t>林经理拿着计算器核对报表，同一个数字算了三遍。你问她是不是不相信电脑，她说：“我是不相信自己第一遍没按错。”</t>
        </is>
      </c>
      <c r="E23" s="34" t="str"/>
      <c r="F23" s="34" t="str"/>
      <c r="G23" s="34" t="str"/>
      <c r="H23" s="34" t="str"/>
      <c r="I23" s="34" t="inlineStr">
        <is>
          <t>否</t>
        </is>
      </c>
      <c r="J23" s="34" t="str"/>
      <c r="K23" s="34" t="str"/>
      <c r="L23" s="66" t="n">
        <v>100</v>
      </c>
      <c r="M23" s="34" t="inlineStr">
        <is>
          <t>是</t>
        </is>
      </c>
      <c r="N23" s="34" t="inlineStr">
        <is>
          <t>是</t>
        </is>
      </c>
      <c r="O23" s="34" t="str"/>
    </row>
    <row r="24">
      <c r="A24" s="20" t="inlineStr">
        <is>
          <t>C03</t>
        </is>
      </c>
      <c r="B24" s="20" t="inlineStr">
        <is>
          <t>熟悉的人</t>
        </is>
      </c>
      <c r="C24" s="34" t="inlineStr">
        <is>
          <t>周经理的电话</t>
        </is>
      </c>
      <c r="D24" s="34" t="inlineStr">
        <is>
          <t>周经理刚结束一通客户电话，转头又接起了下一通。他把手机放下时长舒了一口气：“今天已经解释同一个问题四遍了。”</t>
        </is>
      </c>
      <c r="E24" s="34" t="str"/>
      <c r="F24" s="34" t="str"/>
      <c r="G24" s="34" t="str"/>
      <c r="H24" s="34" t="str"/>
      <c r="I24" s="34" t="inlineStr">
        <is>
          <t>否</t>
        </is>
      </c>
      <c r="J24" s="34" t="str"/>
      <c r="K24" s="34" t="str"/>
      <c r="L24" s="66" t="n">
        <v>100</v>
      </c>
      <c r="M24" s="34" t="inlineStr">
        <is>
          <t>是</t>
        </is>
      </c>
      <c r="N24" s="34" t="inlineStr">
        <is>
          <t>是</t>
        </is>
      </c>
      <c r="O24" s="34" t="str"/>
    </row>
    <row r="25">
      <c r="A25" s="20" t="inlineStr">
        <is>
          <t>C04</t>
        </is>
      </c>
      <c r="B25" s="20" t="inlineStr">
        <is>
          <t>熟悉的人</t>
        </is>
      </c>
      <c r="C25" s="34" t="inlineStr">
        <is>
          <t>刘师傅的照片</t>
        </is>
      </c>
      <c r="D25" s="34" t="inlineStr">
        <is>
          <t>刘师傅在休息时翻出一张旧合照，照片里的人都穿着多年前的工作服。他指着其中一个年轻人说：“这个是我，那时候头发还挺多。”</t>
        </is>
      </c>
      <c r="E25" s="34" t="str"/>
      <c r="F25" s="34" t="str"/>
      <c r="G25" s="34" t="str"/>
      <c r="H25" s="34" t="str"/>
      <c r="I25" s="34" t="inlineStr">
        <is>
          <t>否</t>
        </is>
      </c>
      <c r="J25" s="34" t="str"/>
      <c r="K25" s="34" t="str"/>
      <c r="L25" s="66" t="n">
        <v>100</v>
      </c>
      <c r="M25" s="34" t="inlineStr">
        <is>
          <t>是</t>
        </is>
      </c>
      <c r="N25" s="34" t="inlineStr">
        <is>
          <t>是</t>
        </is>
      </c>
      <c r="O25" s="34" t="str"/>
    </row>
    <row r="26">
      <c r="A26" s="20" t="inlineStr">
        <is>
          <t>C05</t>
        </is>
      </c>
      <c r="B26" s="20" t="inlineStr">
        <is>
          <t>熟悉的人</t>
        </is>
      </c>
      <c r="C26" s="34" t="inlineStr">
        <is>
          <t>来自集团的消息</t>
        </is>
      </c>
      <c r="D26" s="34" t="inlineStr">
        <is>
          <t>王经理发来消息，问工厂最近怎么样。你还在想应该怎么回答，下一条消息已经到了：“不用写得像汇报，简单说说就行。”</t>
        </is>
      </c>
      <c r="E26" s="34" t="str"/>
      <c r="F26" s="34" t="str"/>
      <c r="G26" s="34" t="str"/>
      <c r="H26" s="34" t="str"/>
      <c r="I26" s="34" t="inlineStr">
        <is>
          <t>否</t>
        </is>
      </c>
      <c r="J26" s="34" t="str"/>
      <c r="K26" s="34" t="str"/>
      <c r="L26" s="66" t="n">
        <v>100</v>
      </c>
      <c r="M26" s="34" t="inlineStr">
        <is>
          <t>是</t>
        </is>
      </c>
      <c r="N26" s="34" t="inlineStr">
        <is>
          <t>是</t>
        </is>
      </c>
      <c r="O26" s="34" t="str"/>
    </row>
    <row r="27">
      <c r="A27" s="20" t="inlineStr">
        <is>
          <t>C06</t>
        </is>
      </c>
      <c r="B27" s="20" t="inlineStr">
        <is>
          <t>熟悉的人</t>
        </is>
      </c>
      <c r="C27" s="34" t="inlineStr">
        <is>
          <t>记住名字</t>
        </is>
      </c>
      <c r="D27" s="34" t="inlineStr">
        <is>
          <t>今天有位员工在走廊里向你打招呼。你想了半天才记起他的名字，幸好对方并没有发现你刚才那一瞬间的迟疑。</t>
        </is>
      </c>
      <c r="E27" s="34" t="str"/>
      <c r="F27" s="34" t="str"/>
      <c r="G27" s="34" t="str"/>
      <c r="H27" s="34" t="str"/>
      <c r="I27" s="34" t="inlineStr">
        <is>
          <t>否</t>
        </is>
      </c>
      <c r="J27" s="34" t="str"/>
      <c r="K27" s="34" t="str"/>
      <c r="L27" s="66" t="n">
        <v>100</v>
      </c>
      <c r="M27" s="34" t="inlineStr">
        <is>
          <t>是</t>
        </is>
      </c>
      <c r="N27" s="34" t="inlineStr">
        <is>
          <t>是</t>
        </is>
      </c>
      <c r="O27" s="34" t="str"/>
    </row>
    <row r="28">
      <c r="A28" s="20" t="inlineStr">
        <is>
          <t>C07</t>
        </is>
      </c>
      <c r="B28" s="20" t="inlineStr">
        <is>
          <t>熟悉的人</t>
        </is>
      </c>
      <c r="C28" s="34" t="inlineStr">
        <is>
          <t>多出来的一份</t>
        </is>
      </c>
      <c r="D28" s="34" t="inlineStr">
        <is>
          <t>会议结束后，有人在桌上留下了一份整理好的记录。你不知道是谁放的，但最重要的几个待办事项已经被画上了圈。</t>
        </is>
      </c>
      <c r="E28" s="34" t="str"/>
      <c r="F28" s="34" t="str"/>
      <c r="G28" s="34" t="str"/>
      <c r="H28" s="34" t="str"/>
      <c r="I28" s="34" t="inlineStr">
        <is>
          <t>否</t>
        </is>
      </c>
      <c r="J28" s="34" t="str"/>
      <c r="K28" s="34" t="str"/>
      <c r="L28" s="66" t="n">
        <v>100</v>
      </c>
      <c r="M28" s="34" t="inlineStr">
        <is>
          <t>是</t>
        </is>
      </c>
      <c r="N28" s="34" t="inlineStr">
        <is>
          <t>是</t>
        </is>
      </c>
      <c r="O28" s="34" t="str"/>
    </row>
    <row r="29">
      <c r="A29" s="20" t="inlineStr">
        <is>
          <t>C08</t>
        </is>
      </c>
      <c r="B29" s="20" t="inlineStr">
        <is>
          <t>熟悉的人</t>
        </is>
      </c>
      <c r="C29" s="34" t="inlineStr">
        <is>
          <t>楼梯间的闲聊</t>
        </is>
      </c>
      <c r="D29" s="34" t="inlineStr">
        <is>
          <t>你在楼梯间遇见两位同事，正聊着周末要不要出去走走。看到你之后，他们自然地打了声招呼，又继续讨论天气预报。</t>
        </is>
      </c>
      <c r="E29" s="34" t="str"/>
      <c r="F29" s="34" t="str"/>
      <c r="G29" s="34" t="str"/>
      <c r="H29" s="34" t="str"/>
      <c r="I29" s="34" t="inlineStr">
        <is>
          <t>否</t>
        </is>
      </c>
      <c r="J29" s="34" t="str"/>
      <c r="K29" s="34" t="str"/>
      <c r="L29" s="66" t="n">
        <v>100</v>
      </c>
      <c r="M29" s="34" t="inlineStr">
        <is>
          <t>是</t>
        </is>
      </c>
      <c r="N29" s="34" t="inlineStr">
        <is>
          <t>是</t>
        </is>
      </c>
      <c r="O29" s="34" t="str"/>
    </row>
    <row r="30">
      <c r="A30" s="20" t="inlineStr">
        <is>
          <t>D01</t>
        </is>
      </c>
      <c r="B30" s="20" t="inlineStr">
        <is>
          <t>食堂与公共空间</t>
        </is>
      </c>
      <c r="C30" s="34" t="inlineStr">
        <is>
          <t>今天吃什么</t>
        </is>
      </c>
      <c r="D30" s="34" t="inlineStr">
        <is>
          <t>食堂今天的菜谱刚贴出来，就有人站在前面研究了半天。</t>
        </is>
      </c>
      <c r="E30" s="34" t="str"/>
      <c r="F30" s="34" t="str"/>
      <c r="G30" s="34" t="str"/>
      <c r="H30" s="34" t="str"/>
      <c r="I30" s="34" t="inlineStr">
        <is>
          <t>否</t>
        </is>
      </c>
      <c r="J30" s="34" t="str"/>
      <c r="K30" s="34" t="str"/>
      <c r="L30" s="66" t="n">
        <v>100</v>
      </c>
      <c r="M30" s="34" t="inlineStr">
        <is>
          <t>是</t>
        </is>
      </c>
      <c r="N30" s="34" t="inlineStr">
        <is>
          <t>是</t>
        </is>
      </c>
      <c r="O30" s="34" t="str"/>
    </row>
    <row r="31">
      <c r="A31" s="20" t="inlineStr">
        <is>
          <t>D02</t>
        </is>
      </c>
      <c r="B31" s="20" t="inlineStr">
        <is>
          <t>食堂与公共空间</t>
        </is>
      </c>
      <c r="C31" s="34" t="inlineStr">
        <is>
          <t>最后一块西瓜</t>
        </is>
      </c>
      <c r="D31" s="34" t="inlineStr">
        <is>
          <t>食堂午餐后准备了一些西瓜。最后一块在餐盘里放了好一会儿，谁路过都说让给别人，最后还是被食堂阿姨收走了。</t>
        </is>
      </c>
      <c r="E31" s="34" t="inlineStr">
        <is>
          <t>夏季</t>
        </is>
      </c>
      <c r="F31" s="34" t="str"/>
      <c r="G31" s="34" t="str"/>
      <c r="H31" s="34" t="str"/>
      <c r="I31" s="34" t="inlineStr">
        <is>
          <t>否</t>
        </is>
      </c>
      <c r="J31" s="34" t="str"/>
      <c r="K31" s="34" t="str"/>
      <c r="L31" s="66" t="n">
        <v>130</v>
      </c>
      <c r="M31" s="34" t="inlineStr">
        <is>
          <t>是</t>
        </is>
      </c>
      <c r="N31" s="34" t="inlineStr">
        <is>
          <t>是</t>
        </is>
      </c>
      <c r="O31" s="34" t="str"/>
    </row>
    <row r="32">
      <c r="A32" s="20" t="inlineStr">
        <is>
          <t>D03</t>
        </is>
      </c>
      <c r="B32" s="20" t="inlineStr">
        <is>
          <t>食堂与公共空间</t>
        </is>
      </c>
      <c r="C32" s="34" t="inlineStr">
        <is>
          <t>公告栏</t>
        </is>
      </c>
      <c r="D32" s="34" t="inlineStr">
        <is>
          <t>公告栏上又多了一张通知，贴得稍微有点歪。第二天再经过时，你发现它已经被人重新贴正了。</t>
        </is>
      </c>
      <c r="E32" s="34" t="str"/>
      <c r="F32" s="34" t="str"/>
      <c r="G32" s="34" t="str"/>
      <c r="H32" s="34" t="str"/>
      <c r="I32" s="34" t="inlineStr">
        <is>
          <t>否</t>
        </is>
      </c>
      <c r="J32" s="34" t="str"/>
      <c r="K32" s="34" t="str"/>
      <c r="L32" s="66" t="n">
        <v>100</v>
      </c>
      <c r="M32" s="34" t="inlineStr">
        <is>
          <t>是</t>
        </is>
      </c>
      <c r="N32" s="34" t="inlineStr">
        <is>
          <t>是</t>
        </is>
      </c>
      <c r="O32" s="34" t="str"/>
    </row>
    <row r="33">
      <c r="A33" s="20" t="inlineStr">
        <is>
          <t>D04</t>
        </is>
      </c>
      <c r="B33" s="20" t="inlineStr">
        <is>
          <t>食堂与公共空间</t>
        </is>
      </c>
      <c r="C33" s="34" t="inlineStr">
        <is>
          <t>失物招领</t>
        </is>
      </c>
      <c r="D33" s="34" t="inlineStr">
        <is>
          <t>门卫室的失物招领处多了一把折叠伞，旁边还有一只没人认领的手套。门卫说，这些东西总会有人记起来的。</t>
        </is>
      </c>
      <c r="E33" s="34" t="str"/>
      <c r="F33" s="34" t="str"/>
      <c r="G33" s="34" t="str"/>
      <c r="H33" s="34" t="str"/>
      <c r="I33" s="34" t="inlineStr">
        <is>
          <t>否</t>
        </is>
      </c>
      <c r="J33" s="34" t="str"/>
      <c r="K33" s="34" t="str"/>
      <c r="L33" s="66" t="n">
        <v>100</v>
      </c>
      <c r="M33" s="34" t="inlineStr">
        <is>
          <t>是</t>
        </is>
      </c>
      <c r="N33" s="34" t="inlineStr">
        <is>
          <t>是</t>
        </is>
      </c>
      <c r="O33" s="34" t="str"/>
    </row>
    <row r="34">
      <c r="A34" s="20" t="inlineStr">
        <is>
          <t>D05</t>
        </is>
      </c>
      <c r="B34" s="20" t="inlineStr">
        <is>
          <t>食堂与公共空间</t>
        </is>
      </c>
      <c r="C34" s="34" t="inlineStr">
        <is>
          <t>食堂阿姨</t>
        </is>
      </c>
      <c r="D34" s="34" t="inlineStr">
        <is>
          <t>今天食堂阿姨问你最近是不是很忙。你还没来得及回答，她已经多给你盛了一勺菜：“看你这几天吃得少。”</t>
        </is>
      </c>
      <c r="E34" s="34" t="str"/>
      <c r="F34" s="34" t="str"/>
      <c r="G34" s="34" t="str"/>
      <c r="H34" s="34" t="str"/>
      <c r="I34" s="34" t="inlineStr">
        <is>
          <t>否</t>
        </is>
      </c>
      <c r="J34" s="34" t="str"/>
      <c r="K34" s="34" t="str"/>
      <c r="L34" s="66" t="n">
        <v>100</v>
      </c>
      <c r="M34" s="34" t="inlineStr">
        <is>
          <t>是</t>
        </is>
      </c>
      <c r="N34" s="34" t="inlineStr">
        <is>
          <t>是</t>
        </is>
      </c>
      <c r="O34" s="34" t="str"/>
    </row>
    <row r="35">
      <c r="A35" s="20" t="inlineStr">
        <is>
          <t>D06</t>
        </is>
      </c>
      <c r="B35" s="20" t="inlineStr">
        <is>
          <t>食堂与公共空间</t>
        </is>
      </c>
      <c r="C35" s="34" t="inlineStr">
        <is>
          <t>午后的休息区</t>
        </is>
      </c>
      <c r="D35" s="34" t="inlineStr">
        <is>
          <t>午休时间，休息区难得安静下来。有人靠着椅背闭目养神，有人戴着耳机听歌，偶尔传来翻书的声音。</t>
        </is>
      </c>
      <c r="E35" s="34" t="str"/>
      <c r="F35" s="34" t="str"/>
      <c r="G35" s="34" t="str"/>
      <c r="H35" s="34" t="str"/>
      <c r="I35" s="34" t="inlineStr">
        <is>
          <t>否</t>
        </is>
      </c>
      <c r="J35" s="34" t="str"/>
      <c r="K35" s="34" t="str"/>
      <c r="L35" s="66" t="n">
        <v>100</v>
      </c>
      <c r="M35" s="34" t="inlineStr">
        <is>
          <t>是</t>
        </is>
      </c>
      <c r="N35" s="34" t="inlineStr">
        <is>
          <t>是</t>
        </is>
      </c>
      <c r="O35" s="34" t="str"/>
    </row>
    <row r="36">
      <c r="A36" s="20" t="inlineStr">
        <is>
          <t>D07</t>
        </is>
      </c>
      <c r="B36" s="20" t="inlineStr">
        <is>
          <t>食堂与公共空间</t>
        </is>
      </c>
      <c r="C36" s="34" t="inlineStr">
        <is>
          <t>雨伞架</t>
        </is>
      </c>
      <c r="D36" s="34" t="inlineStr">
        <is>
          <t>办公楼门口的伞架突然变得拥挤。下午雨停后，大家又陆续把自己的伞领走，剩下了几把颜色几乎一样的黑伞。</t>
        </is>
      </c>
      <c r="E36" s="34" t="str"/>
      <c r="F36" s="34" t="inlineStr">
        <is>
          <t>雨天或雨后</t>
        </is>
      </c>
      <c r="G36" s="34" t="str"/>
      <c r="H36" s="34" t="str"/>
      <c r="I36" s="34" t="inlineStr">
        <is>
          <t>否</t>
        </is>
      </c>
      <c r="J36" s="34" t="str"/>
      <c r="K36" s="34" t="str"/>
      <c r="L36" s="66" t="n">
        <v>140</v>
      </c>
      <c r="M36" s="34" t="inlineStr">
        <is>
          <t>是</t>
        </is>
      </c>
      <c r="N36" s="34" t="inlineStr">
        <is>
          <t>是</t>
        </is>
      </c>
      <c r="O36" s="34" t="str"/>
    </row>
    <row r="37">
      <c r="A37" s="20" t="inlineStr">
        <is>
          <t>D08</t>
        </is>
      </c>
      <c r="B37" s="20" t="inlineStr">
        <is>
          <t>食堂与公共空间</t>
        </is>
      </c>
      <c r="C37" s="34" t="inlineStr">
        <is>
          <t>一张生日卡</t>
        </is>
      </c>
      <c r="D37" s="34" t="inlineStr">
        <is>
          <t>休息区的桌上放着一张写满签名的生日卡。没有盛大的庆祝仪式，只是有人记得今天是谁的生日。</t>
        </is>
      </c>
      <c r="E37" s="34" t="str"/>
      <c r="F37" s="34" t="str"/>
      <c r="G37" s="34" t="str"/>
      <c r="H37" s="34" t="str"/>
      <c r="I37" s="34" t="inlineStr">
        <is>
          <t>否</t>
        </is>
      </c>
      <c r="J37" s="34" t="str"/>
      <c r="K37" s="34" t="str"/>
      <c r="L37" s="66" t="n">
        <v>100</v>
      </c>
      <c r="M37" s="34" t="inlineStr">
        <is>
          <t>是</t>
        </is>
      </c>
      <c r="N37" s="34" t="inlineStr">
        <is>
          <t>是</t>
        </is>
      </c>
      <c r="O37" s="34" t="str"/>
    </row>
    <row r="38">
      <c r="A38" s="20" t="inlineStr">
        <is>
          <t>E01</t>
        </is>
      </c>
      <c r="B38" s="20" t="inlineStr">
        <is>
          <t>围墙外的世界</t>
        </is>
      </c>
      <c r="C38" s="34" t="inlineStr">
        <is>
          <t>早餐摊</t>
        </is>
      </c>
      <c r="D38" s="34" t="inlineStr">
        <is>
          <t>厂门口的早餐摊今天来得特别早。你经过时，摊主已经能叫出好几位员工的名字，甚至知道他们平时吃什么。</t>
        </is>
      </c>
      <c r="E38" s="34" t="str"/>
      <c r="F38" s="34" t="str"/>
      <c r="G38" s="34" t="str"/>
      <c r="H38" s="34" t="str"/>
      <c r="I38" s="34" t="inlineStr">
        <is>
          <t>否</t>
        </is>
      </c>
      <c r="J38" s="34" t="str"/>
      <c r="K38" s="34" t="str"/>
      <c r="L38" s="66" t="n">
        <v>100</v>
      </c>
      <c r="M38" s="34" t="inlineStr">
        <is>
          <t>是</t>
        </is>
      </c>
      <c r="N38" s="34" t="inlineStr">
        <is>
          <t>是</t>
        </is>
      </c>
      <c r="O38" s="34" t="str"/>
    </row>
    <row r="39">
      <c r="A39" s="20" t="inlineStr">
        <is>
          <t>E02</t>
        </is>
      </c>
      <c r="B39" s="20" t="inlineStr">
        <is>
          <t>围墙外的世界</t>
        </is>
      </c>
      <c r="C39" s="34" t="inlineStr">
        <is>
          <t>等车的人</t>
        </is>
      </c>
      <c r="D39" s="34" t="inlineStr">
        <is>
          <t>下班时，公交站旁站着几个熟悉的身影。大家都低头看着手机，直到公交车从路口转过来，才一起抬起头。</t>
        </is>
      </c>
      <c r="E39" s="34" t="str"/>
      <c r="F39" s="34" t="str"/>
      <c r="G39" s="34" t="str"/>
      <c r="H39" s="34" t="str"/>
      <c r="I39" s="34" t="inlineStr">
        <is>
          <t>否</t>
        </is>
      </c>
      <c r="J39" s="34" t="str"/>
      <c r="K39" s="34" t="str"/>
      <c r="L39" s="66" t="n">
        <v>100</v>
      </c>
      <c r="M39" s="34" t="inlineStr">
        <is>
          <t>是</t>
        </is>
      </c>
      <c r="N39" s="34" t="inlineStr">
        <is>
          <t>是</t>
        </is>
      </c>
      <c r="O39" s="34" t="str"/>
    </row>
    <row r="40">
      <c r="A40" s="20" t="inlineStr">
        <is>
          <t>E03</t>
        </is>
      </c>
      <c r="B40" s="20" t="inlineStr">
        <is>
          <t>围墙外的世界</t>
        </is>
      </c>
      <c r="C40" s="34" t="inlineStr">
        <is>
          <t>司机的路线</t>
        </is>
      </c>
      <c r="D40" s="34" t="inlineStr">
        <is>
          <t>送货司机说，来厂里的这条路他已经跑了好几年。有时候导航还在提示转弯，他就已经知道前面哪个路口容易堵车。</t>
        </is>
      </c>
      <c r="E40" s="34" t="str"/>
      <c r="F40" s="34" t="str"/>
      <c r="G40" s="34" t="str"/>
      <c r="H40" s="34" t="str"/>
      <c r="I40" s="34" t="inlineStr">
        <is>
          <t>否</t>
        </is>
      </c>
      <c r="J40" s="34" t="str"/>
      <c r="K40" s="34" t="str"/>
      <c r="L40" s="66" t="n">
        <v>100</v>
      </c>
      <c r="M40" s="34" t="inlineStr">
        <is>
          <t>是</t>
        </is>
      </c>
      <c r="N40" s="34" t="inlineStr">
        <is>
          <t>是</t>
        </is>
      </c>
      <c r="O40" s="34" t="str"/>
    </row>
    <row r="41">
      <c r="A41" s="20" t="inlineStr">
        <is>
          <t>E04</t>
        </is>
      </c>
      <c r="B41" s="20" t="inlineStr">
        <is>
          <t>围墙外的世界</t>
        </is>
      </c>
      <c r="C41" s="34" t="inlineStr">
        <is>
          <t>隔壁工厂</t>
        </is>
      </c>
      <c r="D41" s="34" t="inlineStr">
        <is>
          <t>隔壁厂区传来了施工的声音，听说他们最近正在改造一栋老厂房。门卫和司机们已经讨论了好几天，猜测那边究竟要做什么。</t>
        </is>
      </c>
      <c r="E41" s="34" t="str"/>
      <c r="F41" s="34" t="str"/>
      <c r="G41" s="34" t="str"/>
      <c r="H41" s="34" t="str"/>
      <c r="I41" s="34" t="inlineStr">
        <is>
          <t>否</t>
        </is>
      </c>
      <c r="J41" s="34" t="str"/>
      <c r="K41" s="34" t="str"/>
      <c r="L41" s="66" t="n">
        <v>100</v>
      </c>
      <c r="M41" s="34" t="inlineStr">
        <is>
          <t>是</t>
        </is>
      </c>
      <c r="N41" s="34" t="inlineStr">
        <is>
          <t>是</t>
        </is>
      </c>
      <c r="O41" s="34" t="str"/>
    </row>
    <row r="42">
      <c r="A42" s="20" t="inlineStr">
        <is>
          <t>E05</t>
        </is>
      </c>
      <c r="B42" s="20" t="inlineStr">
        <is>
          <t>围墙外的世界</t>
        </is>
      </c>
      <c r="C42" s="34" t="inlineStr">
        <is>
          <t>水果摊</t>
        </is>
      </c>
      <c r="D42" s="34" t="inlineStr">
        <is>
          <t>路边的水果摊换上了当季的水果。你经过时听见摊主招呼熟客：“今天这个比上周的甜。”</t>
        </is>
      </c>
      <c r="E42" s="34" t="inlineStr">
        <is>
          <t>夏秋</t>
        </is>
      </c>
      <c r="F42" s="34" t="str"/>
      <c r="G42" s="34" t="str"/>
      <c r="H42" s="34" t="str"/>
      <c r="I42" s="34" t="inlineStr">
        <is>
          <t>否</t>
        </is>
      </c>
      <c r="J42" s="34" t="str"/>
      <c r="K42" s="34" t="str"/>
      <c r="L42" s="66" t="n">
        <v>130</v>
      </c>
      <c r="M42" s="34" t="inlineStr">
        <is>
          <t>是</t>
        </is>
      </c>
      <c r="N42" s="34" t="inlineStr">
        <is>
          <t>是</t>
        </is>
      </c>
      <c r="O42" s="34" t="str"/>
    </row>
    <row r="43">
      <c r="A43" s="20" t="inlineStr">
        <is>
          <t>E06</t>
        </is>
      </c>
      <c r="B43" s="20" t="inlineStr">
        <is>
          <t>围墙外的世界</t>
        </is>
      </c>
      <c r="C43" s="34" t="inlineStr">
        <is>
          <t>街角的小店</t>
        </is>
      </c>
      <c r="D43" s="34" t="inlineStr">
        <is>
          <t>厂区附近那家经营多年的小店换了新招牌。老板还是原来的老板，只是门口的招牌看起来亮堂了不少。</t>
        </is>
      </c>
      <c r="E43" s="34" t="str"/>
      <c r="F43" s="34" t="str"/>
      <c r="G43" s="34" t="str"/>
      <c r="H43" s="34" t="str"/>
      <c r="I43" s="34" t="inlineStr">
        <is>
          <t>否</t>
        </is>
      </c>
      <c r="J43" s="34" t="str"/>
      <c r="K43" s="34" t="str"/>
      <c r="L43" s="66" t="n">
        <v>100</v>
      </c>
      <c r="M43" s="34" t="inlineStr">
        <is>
          <t>是</t>
        </is>
      </c>
      <c r="N43" s="34" t="inlineStr">
        <is>
          <t>是</t>
        </is>
      </c>
      <c r="O43" s="34" t="str"/>
    </row>
    <row r="44">
      <c r="A44" s="20" t="inlineStr">
        <is>
          <t>E07</t>
        </is>
      </c>
      <c r="B44" s="20" t="inlineStr">
        <is>
          <t>围墙外的世界</t>
        </is>
      </c>
      <c r="C44" s="34" t="inlineStr">
        <is>
          <t>放学时间</t>
        </is>
      </c>
      <c r="D44" s="34" t="inlineStr">
        <is>
          <t>下午经过工厂外的路口时，正好遇上附近学校放学。几名学生背着书包从人行道走过，叽叽喳喳地讨论着明天的考试。</t>
        </is>
      </c>
      <c r="E44" s="34" t="str"/>
      <c r="F44" s="34" t="str"/>
      <c r="G44" s="34" t="str"/>
      <c r="H44" s="34" t="str"/>
      <c r="I44" s="34" t="inlineStr">
        <is>
          <t>否</t>
        </is>
      </c>
      <c r="J44" s="34" t="str"/>
      <c r="K44" s="34" t="str"/>
      <c r="L44" s="66" t="n">
        <v>100</v>
      </c>
      <c r="M44" s="34" t="inlineStr">
        <is>
          <t>是</t>
        </is>
      </c>
      <c r="N44" s="34" t="inlineStr">
        <is>
          <t>是</t>
        </is>
      </c>
      <c r="O44" s="34" t="str"/>
    </row>
    <row r="45">
      <c r="A45" s="20" t="inlineStr">
        <is>
          <t>E08</t>
        </is>
      </c>
      <c r="B45" s="20" t="inlineStr">
        <is>
          <t>围墙外的世界</t>
        </is>
      </c>
      <c r="C45" s="34" t="inlineStr">
        <is>
          <t>回家的路</t>
        </is>
      </c>
      <c r="D45" s="34" t="inlineStr">
        <is>
          <t>今天你比平时早了一点离开工厂。路边的店铺还没有打烊，天也没有完全黑下来，你突然发现这条路其实挺热闹的。</t>
        </is>
      </c>
      <c r="E45" s="34" t="str"/>
      <c r="F45" s="34" t="str"/>
      <c r="G45" s="34" t="str"/>
      <c r="H45" s="34" t="str"/>
      <c r="I45" s="34" t="inlineStr">
        <is>
          <t>否</t>
        </is>
      </c>
      <c r="J45" s="34" t="str"/>
      <c r="K45" s="34" t="str"/>
      <c r="L45" s="66" t="n">
        <v>100</v>
      </c>
      <c r="M45" s="34" t="inlineStr">
        <is>
          <t>是</t>
        </is>
      </c>
      <c r="N45" s="34" t="inlineStr">
        <is>
          <t>是</t>
        </is>
      </c>
      <c r="O45" s="34" t="str"/>
    </row>
    <row r="46">
      <c r="A46" s="20" t="inlineStr">
        <is>
          <t>F01</t>
        </is>
      </c>
      <c r="B46" s="20" t="inlineStr">
        <is>
          <t>厂长自己的日常</t>
        </is>
      </c>
      <c r="C46" s="34" t="inlineStr">
        <is>
          <t>桌上的文件</t>
        </is>
      </c>
      <c r="D46" s="34" t="inlineStr">
        <is>
          <t>你整理办公桌时发现一份找了两天的文件。它就夹在最常用的文件夹里，偏偏之前翻了好几遍都没看见。</t>
        </is>
      </c>
      <c r="E46" s="34" t="str"/>
      <c r="F46" s="34" t="str"/>
      <c r="G46" s="34" t="str"/>
      <c r="H46" s="34" t="str"/>
      <c r="I46" s="34" t="inlineStr">
        <is>
          <t>否</t>
        </is>
      </c>
      <c r="J46" s="34" t="str"/>
      <c r="K46" s="34" t="str"/>
      <c r="L46" s="66" t="n">
        <v>100</v>
      </c>
      <c r="M46" s="34" t="inlineStr">
        <is>
          <t>是</t>
        </is>
      </c>
      <c r="N46" s="34" t="inlineStr">
        <is>
          <t>是</t>
        </is>
      </c>
      <c r="O46" s="34" t="str"/>
    </row>
    <row r="47">
      <c r="A47" s="20" t="inlineStr">
        <is>
          <t>F02</t>
        </is>
      </c>
      <c r="B47" s="20" t="inlineStr">
        <is>
          <t>厂长自己的日常</t>
        </is>
      </c>
      <c r="C47" s="34" t="inlineStr">
        <is>
          <t>第一声厂长</t>
        </is>
      </c>
      <c r="D47" s="34" t="inlineStr">
        <is>
          <t>今天有人在走廊里喊了一声“厂长”，你过了半秒才反应过来是在叫自己。</t>
        </is>
      </c>
      <c r="E47" s="34" t="str"/>
      <c r="F47" s="34" t="str"/>
      <c r="G47" s="34" t="str"/>
      <c r="H47" s="34" t="str"/>
      <c r="I47" s="34" t="inlineStr">
        <is>
          <t>是</t>
        </is>
      </c>
      <c r="J47" s="34" t="str"/>
      <c r="K47" s="34" t="str"/>
      <c r="L47" s="66" t="n">
        <v>180</v>
      </c>
      <c r="M47" s="34" t="inlineStr">
        <is>
          <t>是</t>
        </is>
      </c>
      <c r="N47" s="34" t="inlineStr">
        <is>
          <t>是</t>
        </is>
      </c>
      <c r="O47" s="34" t="str"/>
    </row>
    <row r="48">
      <c r="A48" s="20" t="inlineStr">
        <is>
          <t>F03</t>
        </is>
      </c>
      <c r="B48" s="20" t="inlineStr">
        <is>
          <t>厂长自己的日常</t>
        </is>
      </c>
      <c r="C48" s="34" t="inlineStr">
        <is>
          <t>会议结束之后</t>
        </is>
      </c>
      <c r="D48" s="34" t="inlineStr">
        <is>
          <t>今天最后一场会议结束得比预想中早。你坐在办公室里，一时竟然有点不知道该先做什么。</t>
        </is>
      </c>
      <c r="E48" s="34" t="str"/>
      <c r="F48" s="34" t="str"/>
      <c r="G48" s="34" t="str"/>
      <c r="H48" s="34" t="str"/>
      <c r="I48" s="34" t="inlineStr">
        <is>
          <t>否</t>
        </is>
      </c>
      <c r="J48" s="34" t="str"/>
      <c r="K48" s="34" t="str"/>
      <c r="L48" s="66" t="n">
        <v>100</v>
      </c>
      <c r="M48" s="34" t="inlineStr">
        <is>
          <t>是</t>
        </is>
      </c>
      <c r="N48" s="34" t="inlineStr">
        <is>
          <t>是</t>
        </is>
      </c>
      <c r="O48" s="34" t="str"/>
    </row>
    <row r="49">
      <c r="A49" s="20" t="inlineStr">
        <is>
          <t>F04</t>
        </is>
      </c>
      <c r="B49" s="20" t="inlineStr">
        <is>
          <t>厂长自己的日常</t>
        </is>
      </c>
      <c r="C49" s="34" t="inlineStr">
        <is>
          <t>便签纸</t>
        </is>
      </c>
      <c r="D49" s="34" t="inlineStr">
        <is>
          <t>显示器旁边的便签越贴越多，颜色也越来越杂。你决定认真整理一次，结果发现其中三张写的是同一件事。</t>
        </is>
      </c>
      <c r="E49" s="34" t="str"/>
      <c r="F49" s="34" t="str"/>
      <c r="G49" s="34" t="str"/>
      <c r="H49" s="34" t="str"/>
      <c r="I49" s="34" t="inlineStr">
        <is>
          <t>否</t>
        </is>
      </c>
      <c r="J49" s="34" t="str"/>
      <c r="K49" s="34" t="str"/>
      <c r="L49" s="66" t="n">
        <v>100</v>
      </c>
      <c r="M49" s="34" t="inlineStr">
        <is>
          <t>是</t>
        </is>
      </c>
      <c r="N49" s="34" t="inlineStr">
        <is>
          <t>是</t>
        </is>
      </c>
      <c r="O49" s="34" t="str"/>
    </row>
    <row r="50">
      <c r="A50" s="20" t="inlineStr">
        <is>
          <t>F05</t>
        </is>
      </c>
      <c r="B50" s="20" t="inlineStr">
        <is>
          <t>厂长自己的日常</t>
        </is>
      </c>
      <c r="C50" s="34" t="inlineStr">
        <is>
          <t>窗外的灯</t>
        </is>
      </c>
      <c r="D50" s="34" t="inlineStr">
        <is>
          <t>傍晚，你抬头看见车间的灯已经亮了。你还没有完成手头的工作，但至少今天最棘手的几件事已经有了眉目。</t>
        </is>
      </c>
      <c r="E50" s="34" t="str"/>
      <c r="F50" s="34" t="str"/>
      <c r="G50" s="34" t="str"/>
      <c r="H50" s="34" t="str"/>
      <c r="I50" s="34" t="inlineStr">
        <is>
          <t>否</t>
        </is>
      </c>
      <c r="J50" s="34" t="str"/>
      <c r="K50" s="34" t="str"/>
      <c r="L50" s="66" t="n">
        <v>100</v>
      </c>
      <c r="M50" s="34" t="inlineStr">
        <is>
          <t>是</t>
        </is>
      </c>
      <c r="N50" s="34" t="inlineStr">
        <is>
          <t>是</t>
        </is>
      </c>
      <c r="O50" s="34" t="str"/>
    </row>
    <row r="51">
      <c r="A51" s="20" t="inlineStr">
        <is>
          <t>F06</t>
        </is>
      </c>
      <c r="B51" s="20" t="inlineStr">
        <is>
          <t>厂长自己的日常</t>
        </is>
      </c>
      <c r="C51" s="34" t="inlineStr">
        <is>
          <t>写错的日期</t>
        </is>
      </c>
      <c r="D51" s="34" t="inlineStr">
        <is>
          <t>你在文件上写下日期，才发现月份已经变了。把数字划掉重写时，你突然觉得上个月过得实在太快。</t>
        </is>
      </c>
      <c r="E51" s="34" t="str"/>
      <c r="F51" s="34" t="str"/>
      <c r="G51" s="34" t="str"/>
      <c r="H51" s="34" t="str"/>
      <c r="I51" s="34" t="inlineStr">
        <is>
          <t>否</t>
        </is>
      </c>
      <c r="J51" s="34" t="str"/>
      <c r="K51" s="34" t="str"/>
      <c r="L51" s="66" t="n">
        <v>100</v>
      </c>
      <c r="M51" s="34" t="inlineStr">
        <is>
          <t>是</t>
        </is>
      </c>
      <c r="N51" s="34" t="inlineStr">
        <is>
          <t>是</t>
        </is>
      </c>
      <c r="O51" s="34" t="str"/>
    </row>
    <row r="52">
      <c r="A52" s="20" t="inlineStr">
        <is>
          <t>F07</t>
        </is>
      </c>
      <c r="B52" s="20" t="inlineStr">
        <is>
          <t>厂长自己的日常</t>
        </is>
      </c>
      <c r="C52" s="34" t="inlineStr">
        <is>
          <t>没响的电话</t>
        </is>
      </c>
      <c r="D52" s="34" t="inlineStr">
        <is>
          <t>今天下午，办公室电话难得安静了很久。你甚至看了一眼手机，确认不是自己错过了什么消息。</t>
        </is>
      </c>
      <c r="E52" s="34" t="str"/>
      <c r="F52" s="34" t="str"/>
      <c r="G52" s="34" t="str"/>
      <c r="H52" s="34" t="str"/>
      <c r="I52" s="34" t="inlineStr">
        <is>
          <t>否</t>
        </is>
      </c>
      <c r="J52" s="34" t="str"/>
      <c r="K52" s="34" t="str"/>
      <c r="L52" s="66" t="n">
        <v>100</v>
      </c>
      <c r="M52" s="34" t="inlineStr">
        <is>
          <t>是</t>
        </is>
      </c>
      <c r="N52" s="34" t="inlineStr">
        <is>
          <t>是</t>
        </is>
      </c>
      <c r="O52" s="34" t="str"/>
    </row>
    <row r="53">
      <c r="A53" s="20" t="inlineStr">
        <is>
          <t>F08</t>
        </is>
      </c>
      <c r="B53" s="20" t="inlineStr">
        <is>
          <t>厂长自己的日常</t>
        </is>
      </c>
      <c r="C53" s="34" t="inlineStr">
        <is>
          <t>锁门之前</t>
        </is>
      </c>
      <c r="D53" s="34" t="inlineStr">
        <is>
          <t>离开办公室前，你又回头看了一眼桌上的文件。明天还有不少事情要做，不过今天可以先到这里了。</t>
        </is>
      </c>
      <c r="E53" s="34" t="str"/>
      <c r="F53" s="34" t="str"/>
      <c r="G53" s="34" t="str"/>
      <c r="H53" s="34" t="str"/>
      <c r="I53" s="34" t="inlineStr">
        <is>
          <t>否</t>
        </is>
      </c>
      <c r="J53" s="34" t="str"/>
      <c r="K53" s="34" t="str"/>
      <c r="L53" s="66" t="n">
        <v>100</v>
      </c>
      <c r="M53" s="34" t="inlineStr">
        <is>
          <t>是</t>
        </is>
      </c>
      <c r="N53" s="34" t="inlineStr">
        <is>
          <t>是</t>
        </is>
      </c>
      <c r="O53" s="34" t="str"/>
    </row>
    <row r="54">
      <c r="A54" s="20" t="inlineStr">
        <is>
          <t>G01</t>
        </is>
      </c>
      <c r="B54" s="20" t="inlineStr">
        <is>
          <t>小意外与幽默</t>
        </is>
      </c>
      <c r="C54" s="34" t="inlineStr">
        <is>
          <t>神秘的订书机</t>
        </is>
      </c>
      <c r="D54" s="34" t="inlineStr">
        <is>
          <t>办公室那台总也找不到的订书机终于出现了，就放在打印机旁边。至于它之前去了哪里，至今没有人承认。</t>
        </is>
      </c>
      <c r="E54" s="34" t="str"/>
      <c r="F54" s="34" t="str"/>
      <c r="G54" s="34" t="str"/>
      <c r="H54" s="34" t="str"/>
      <c r="I54" s="34" t="inlineStr">
        <is>
          <t>否</t>
        </is>
      </c>
      <c r="J54" s="34" t="str"/>
      <c r="K54" s="34" t="str"/>
      <c r="L54" s="66" t="n">
        <v>100</v>
      </c>
      <c r="M54" s="34" t="inlineStr">
        <is>
          <t>是</t>
        </is>
      </c>
      <c r="N54" s="34" t="inlineStr">
        <is>
          <t>是</t>
        </is>
      </c>
      <c r="O54" s="34" t="str"/>
    </row>
    <row r="55">
      <c r="A55" s="20" t="inlineStr">
        <is>
          <t>G02</t>
        </is>
      </c>
      <c r="B55" s="20" t="inlineStr">
        <is>
          <t>小意外与幽默</t>
        </is>
      </c>
      <c r="C55" s="34" t="inlineStr">
        <is>
          <t>同名文件</t>
        </is>
      </c>
      <c r="D55" s="34" t="inlineStr">
        <is>
          <t>有人把《最终版》发到了群里，随后又发来《最终版2》。十分钟后，群里出现了《最终版_这次真的是最终版》。</t>
        </is>
      </c>
      <c r="E55" s="34" t="str"/>
      <c r="F55" s="34" t="str"/>
      <c r="G55" s="34" t="str"/>
      <c r="H55" s="34" t="str"/>
      <c r="I55" s="34" t="inlineStr">
        <is>
          <t>否</t>
        </is>
      </c>
      <c r="J55" s="34" t="str"/>
      <c r="K55" s="34" t="str"/>
      <c r="L55" s="66" t="n">
        <v>100</v>
      </c>
      <c r="M55" s="34" t="inlineStr">
        <is>
          <t>是</t>
        </is>
      </c>
      <c r="N55" s="34" t="inlineStr">
        <is>
          <t>是</t>
        </is>
      </c>
      <c r="O55" s="34" t="str"/>
    </row>
    <row r="56">
      <c r="A56" s="20" t="inlineStr">
        <is>
          <t>G03</t>
        </is>
      </c>
      <c r="B56" s="20" t="inlineStr">
        <is>
          <t>小意外与幽默</t>
        </is>
      </c>
      <c r="C56" s="34" t="inlineStr">
        <is>
          <t>错误的会议室</t>
        </is>
      </c>
      <c r="D56" s="34" t="inlineStr">
        <is>
          <t>你推开会议室的门，发现里面的人齐刷刷地看向自己。确认过会议主题后，你默默退了出去——原来走错了楼层。</t>
        </is>
      </c>
      <c r="E56" s="34" t="str"/>
      <c r="F56" s="34" t="str"/>
      <c r="G56" s="34" t="str"/>
      <c r="H56" s="34" t="str"/>
      <c r="I56" s="34" t="inlineStr">
        <is>
          <t>否</t>
        </is>
      </c>
      <c r="J56" s="34" t="str"/>
      <c r="K56" s="34" t="str"/>
      <c r="L56" s="66" t="n">
        <v>100</v>
      </c>
      <c r="M56" s="34" t="inlineStr">
        <is>
          <t>是</t>
        </is>
      </c>
      <c r="N56" s="34" t="inlineStr">
        <is>
          <t>是</t>
        </is>
      </c>
      <c r="O56" s="34" t="str"/>
    </row>
    <row r="57">
      <c r="A57" s="20" t="inlineStr">
        <is>
          <t>G04</t>
        </is>
      </c>
      <c r="B57" s="20" t="inlineStr">
        <is>
          <t>小意外与幽默</t>
        </is>
      </c>
      <c r="C57" s="34" t="inlineStr">
        <is>
          <t>神奇的打印机</t>
        </is>
      </c>
      <c r="D57" s="34" t="inlineStr">
        <is>
          <t>打印机今天连续卡了三次纸，维修人员到场后却运转得格外顺畅。站在旁边的同事小声说：“它可能就是想见你。”</t>
        </is>
      </c>
      <c r="E57" s="34" t="str"/>
      <c r="F57" s="34" t="str"/>
      <c r="G57" s="34" t="str"/>
      <c r="H57" s="34" t="str"/>
      <c r="I57" s="34" t="inlineStr">
        <is>
          <t>否</t>
        </is>
      </c>
      <c r="J57" s="34" t="str"/>
      <c r="K57" s="34" t="str"/>
      <c r="L57" s="66" t="n">
        <v>100</v>
      </c>
      <c r="M57" s="34" t="inlineStr">
        <is>
          <t>是</t>
        </is>
      </c>
      <c r="N57" s="34" t="inlineStr">
        <is>
          <t>是</t>
        </is>
      </c>
      <c r="O57" s="34" t="str"/>
    </row>
    <row r="58">
      <c r="A58" s="20" t="inlineStr">
        <is>
          <t>G05</t>
        </is>
      </c>
      <c r="B58" s="20" t="inlineStr">
        <is>
          <t>小意外与幽默</t>
        </is>
      </c>
      <c r="C58" s="34" t="inlineStr">
        <is>
          <t>表情包</t>
        </is>
      </c>
      <c r="D58" s="34" t="inlineStr">
        <is>
          <t>工作群里有人发错了一张表情包，又迅速撤回。但根据随后几分钟突然活跃起来的聊天记录判断，应该有不少人已经看到了。</t>
        </is>
      </c>
      <c r="E58" s="34" t="str"/>
      <c r="F58" s="34" t="str"/>
      <c r="G58" s="34" t="str"/>
      <c r="H58" s="34" t="str"/>
      <c r="I58" s="34" t="inlineStr">
        <is>
          <t>否</t>
        </is>
      </c>
      <c r="J58" s="34" t="str"/>
      <c r="K58" s="34" t="str"/>
      <c r="L58" s="66" t="n">
        <v>100</v>
      </c>
      <c r="M58" s="34" t="inlineStr">
        <is>
          <t>是</t>
        </is>
      </c>
      <c r="N58" s="34" t="inlineStr">
        <is>
          <t>是</t>
        </is>
      </c>
      <c r="O58" s="34" t="str"/>
    </row>
    <row r="59">
      <c r="A59" s="20" t="inlineStr">
        <is>
          <t>G06</t>
        </is>
      </c>
      <c r="B59" s="20" t="inlineStr">
        <is>
          <t>小意外与幽默</t>
        </is>
      </c>
      <c r="C59" s="34" t="inlineStr">
        <is>
          <t>消失的笔</t>
        </is>
      </c>
      <c r="D59" s="34" t="inlineStr">
        <is>
          <t>你在办公室找了半天自己的签字笔，最后发现它一直夹在手中的笔记本上。还好没有人注意到。</t>
        </is>
      </c>
      <c r="E59" s="34" t="str"/>
      <c r="F59" s="34" t="str"/>
      <c r="G59" s="34" t="str"/>
      <c r="H59" s="34" t="str"/>
      <c r="I59" s="34" t="inlineStr">
        <is>
          <t>否</t>
        </is>
      </c>
      <c r="J59" s="34" t="str"/>
      <c r="K59" s="34" t="str"/>
      <c r="L59" s="66" t="n">
        <v>100</v>
      </c>
      <c r="M59" s="34" t="inlineStr">
        <is>
          <t>是</t>
        </is>
      </c>
      <c r="N59" s="34" t="inlineStr">
        <is>
          <t>是</t>
        </is>
      </c>
      <c r="O59" s="34" t="str"/>
    </row>
    <row r="60">
      <c r="A60" s="20" t="inlineStr">
        <is>
          <t>G07</t>
        </is>
      </c>
      <c r="B60" s="20" t="inlineStr">
        <is>
          <t>小意外与幽默</t>
        </is>
      </c>
      <c r="C60" s="34" t="inlineStr">
        <is>
          <t>临时改名</t>
        </is>
      </c>
      <c r="D60" s="34" t="inlineStr">
        <is>
          <t>会议室门外的预约牌出了点问题，把“生产协调会”显示成了“生产协商会”。参会的同事看了一眼，说：“也没什么区别。”</t>
        </is>
      </c>
      <c r="E60" s="34" t="str"/>
      <c r="F60" s="34" t="str"/>
      <c r="G60" s="34" t="str"/>
      <c r="H60" s="34" t="str"/>
      <c r="I60" s="34" t="inlineStr">
        <is>
          <t>否</t>
        </is>
      </c>
      <c r="J60" s="34" t="str"/>
      <c r="K60" s="34" t="str"/>
      <c r="L60" s="66" t="n">
        <v>100</v>
      </c>
      <c r="M60" s="34" t="inlineStr">
        <is>
          <t>是</t>
        </is>
      </c>
      <c r="N60" s="34" t="inlineStr">
        <is>
          <t>是</t>
        </is>
      </c>
      <c r="O60" s="34" t="str"/>
    </row>
    <row r="61">
      <c r="A61" s="20" t="inlineStr">
        <is>
          <t>G08</t>
        </is>
      </c>
      <c r="B61" s="20" t="inlineStr">
        <is>
          <t>小意外与幽默</t>
        </is>
      </c>
      <c r="C61" s="34" t="inlineStr">
        <is>
          <t>集体认错</t>
        </is>
      </c>
      <c r="D61" s="34" t="inlineStr">
        <is>
          <t>几位同事从远处看见一个穿着相似衬衫的人，纷纷喊了声“厂长”。直到那人转过身，大家才发现只是隔壁部门来送货的工作人员。</t>
        </is>
      </c>
      <c r="E61" s="34" t="str"/>
      <c r="F61" s="34" t="str"/>
      <c r="G61" s="34" t="str"/>
      <c r="H61" s="34" t="str"/>
      <c r="I61" s="34" t="inlineStr">
        <is>
          <t>否</t>
        </is>
      </c>
      <c r="J61" s="34" t="str"/>
      <c r="K61" s="34" t="str"/>
      <c r="L61" s="66" t="n">
        <v>100</v>
      </c>
      <c r="M61" s="34" t="inlineStr">
        <is>
          <t>是</t>
        </is>
      </c>
      <c r="N61" s="34" t="inlineStr">
        <is>
          <t>是</t>
        </is>
      </c>
      <c r="O61" s="34" t="str"/>
    </row>
    <row r="62">
      <c r="A62" s="20" t="inlineStr">
        <is>
          <t>H01</t>
        </is>
      </c>
      <c r="B62" s="20" t="inlineStr">
        <is>
          <t>绿色改变的痕迹</t>
        </is>
      </c>
      <c r="C62" s="34" t="inlineStr">
        <is>
          <t>最后一个关灯的人</t>
        </is>
      </c>
      <c r="D62" s="34" t="inlineStr">
        <is>
          <t>你经过一间刚结束会议的办公室，发现最后离开的人顺手关掉了灯。这个动作很普通，普通到几乎不会有人特别注意。</t>
        </is>
      </c>
      <c r="E62" s="34" t="str"/>
      <c r="F62" s="34" t="str"/>
      <c r="G62" s="34" t="str"/>
      <c r="H62" s="34" t="str"/>
      <c r="I62" s="34" t="inlineStr">
        <is>
          <t>否</t>
        </is>
      </c>
      <c r="J62" s="34" t="str"/>
      <c r="K62" s="34" t="str"/>
      <c r="L62" s="66" t="n">
        <v>100</v>
      </c>
      <c r="M62" s="34" t="inlineStr">
        <is>
          <t>是</t>
        </is>
      </c>
      <c r="N62" s="34" t="inlineStr">
        <is>
          <t>是</t>
        </is>
      </c>
      <c r="O62" s="34" t="str"/>
    </row>
    <row r="63">
      <c r="A63" s="20" t="inlineStr">
        <is>
          <t>H02</t>
        </is>
      </c>
      <c r="B63" s="20" t="inlineStr">
        <is>
          <t>绿色改变的痕迹</t>
        </is>
      </c>
      <c r="C63" s="34" t="inlineStr">
        <is>
          <t>重新贴好的标识</t>
        </is>
      </c>
      <c r="D63" s="34" t="inlineStr">
        <is>
          <t>车间的用水设施旁新贴了一张提醒标识。过了几天，你发现有人用透明胶带把翘起来的边角重新粘好了。</t>
        </is>
      </c>
      <c r="E63" s="34" t="str"/>
      <c r="F63" s="34" t="str"/>
      <c r="G63" s="34" t="str"/>
      <c r="H63" s="34" t="str"/>
      <c r="I63" s="34" t="inlineStr">
        <is>
          <t>否</t>
        </is>
      </c>
      <c r="J63" s="34" t="str"/>
      <c r="K63" s="34" t="str"/>
      <c r="L63" s="66" t="n">
        <v>100</v>
      </c>
      <c r="M63" s="34" t="inlineStr">
        <is>
          <t>是</t>
        </is>
      </c>
      <c r="N63" s="34" t="inlineStr">
        <is>
          <t>是</t>
        </is>
      </c>
      <c r="O63" s="34" t="str"/>
    </row>
    <row r="64">
      <c r="A64" s="20" t="inlineStr">
        <is>
          <t>H03</t>
        </is>
      </c>
      <c r="B64" s="20" t="inlineStr">
        <is>
          <t>绿色改变的痕迹</t>
        </is>
      </c>
      <c r="C64" s="34" t="inlineStr">
        <is>
          <t>纸箱的第二次使用</t>
        </is>
      </c>
      <c r="D64" s="34" t="inlineStr">
        <is>
          <t>仓库员工把一批完好、符合复用要求的纸箱留了下来，准备用于内部物料周转。箱子上原来的标签已经被仔细去除。</t>
        </is>
      </c>
      <c r="E64" s="34" t="str"/>
      <c r="F64" s="34" t="str"/>
      <c r="G64" s="34" t="str"/>
      <c r="H64" s="34" t="str"/>
      <c r="I64" s="34" t="inlineStr">
        <is>
          <t>否</t>
        </is>
      </c>
      <c r="J64" s="34" t="str"/>
      <c r="K64" s="34" t="str"/>
      <c r="L64" s="66" t="n">
        <v>100</v>
      </c>
      <c r="M64" s="34" t="inlineStr">
        <is>
          <t>是</t>
        </is>
      </c>
      <c r="N64" s="34" t="inlineStr">
        <is>
          <t>是</t>
        </is>
      </c>
      <c r="O64" s="34" t="str"/>
    </row>
    <row r="65">
      <c r="A65" s="20" t="inlineStr">
        <is>
          <t>H04</t>
        </is>
      </c>
      <c r="B65" s="20" t="inlineStr">
        <is>
          <t>绿色改变的痕迹</t>
        </is>
      </c>
      <c r="C65" s="34" t="inlineStr">
        <is>
          <t>数字的变化</t>
        </is>
      </c>
      <c r="D65" s="34" t="inlineStr">
        <is>
          <t>陈工指着新整理的能源使用记录，告诉你有几个车间的数据与上个月不太一样。他已经记下来，准备再看看究竟是什么原因。</t>
        </is>
      </c>
      <c r="E65" s="34" t="str"/>
      <c r="F65" s="34" t="str"/>
      <c r="G65" s="34" t="str"/>
      <c r="H65" s="34" t="str"/>
      <c r="I65" s="34" t="inlineStr">
        <is>
          <t>否</t>
        </is>
      </c>
      <c r="J65" s="34" t="inlineStr">
        <is>
          <t>digital</t>
        </is>
      </c>
      <c r="K65" s="34" t="str"/>
      <c r="L65" s="66" t="n">
        <v>180</v>
      </c>
      <c r="M65" s="34" t="inlineStr">
        <is>
          <t>是</t>
        </is>
      </c>
      <c r="N65" s="34" t="inlineStr">
        <is>
          <t>是</t>
        </is>
      </c>
      <c r="O65" s="34" t="inlineStr">
        <is>
          <t>完成能源计量或监测项目后</t>
        </is>
      </c>
    </row>
    <row r="66">
      <c r="A66" s="20" t="inlineStr">
        <is>
          <t>H05</t>
        </is>
      </c>
      <c r="B66" s="20" t="inlineStr">
        <is>
          <t>绿色改变的痕迹</t>
        </is>
      </c>
      <c r="C66" s="34" t="inlineStr">
        <is>
          <t>换下来的灯</t>
        </is>
      </c>
      <c r="D66" s="34" t="inlineStr">
        <is>
          <t>仓库一角放着刚换下来的旧灯具，等待按规定分类处置。走进改造后的车间，有员工说：“现在看东西确实清楚些了。”</t>
        </is>
      </c>
      <c r="E66" s="34" t="str"/>
      <c r="F66" s="34" t="str"/>
      <c r="G66" s="34" t="str"/>
      <c r="H66" s="34" t="str"/>
      <c r="I66" s="34" t="inlineStr">
        <is>
          <t>否</t>
        </is>
      </c>
      <c r="J66" s="34" t="inlineStr">
        <is>
          <t>lighting</t>
        </is>
      </c>
      <c r="K66" s="34" t="str"/>
      <c r="L66" s="66" t="n">
        <v>180</v>
      </c>
      <c r="M66" s="34" t="inlineStr">
        <is>
          <t>是</t>
        </is>
      </c>
      <c r="N66" s="34" t="inlineStr">
        <is>
          <t>是</t>
        </is>
      </c>
      <c r="O66" s="34" t="inlineStr">
        <is>
          <t>当前项目库尚无 lighting；新增同ID项目后自动可抽取</t>
        </is>
      </c>
    </row>
    <row r="67">
      <c r="A67" s="20" t="inlineStr">
        <is>
          <t>H06</t>
        </is>
      </c>
      <c r="B67" s="20" t="inlineStr">
        <is>
          <t>绿色改变的痕迹</t>
        </is>
      </c>
      <c r="C67" s="34" t="inlineStr">
        <is>
          <t>屋顶上的新东西</t>
        </is>
      </c>
      <c r="D67" s="34" t="inlineStr">
        <is>
          <t>厂区的屋顶和以前不一样了。今天有人在楼下抬头看了好一会儿，才想起自己已经有几天没注意过那些新装的光伏板。</t>
        </is>
      </c>
      <c r="E67" s="34" t="str"/>
      <c r="F67" s="34" t="str"/>
      <c r="G67" s="34" t="str"/>
      <c r="H67" s="34" t="str"/>
      <c r="I67" s="34" t="inlineStr">
        <is>
          <t>否</t>
        </is>
      </c>
      <c r="J67" s="34" t="inlineStr">
        <is>
          <t>solar</t>
        </is>
      </c>
      <c r="K67" s="34" t="str"/>
      <c r="L67" s="66" t="n">
        <v>180</v>
      </c>
      <c r="M67" s="34" t="inlineStr">
        <is>
          <t>是</t>
        </is>
      </c>
      <c r="N67" s="34" t="inlineStr">
        <is>
          <t>是</t>
        </is>
      </c>
      <c r="O67" s="34" t="str"/>
    </row>
    <row r="68">
      <c r="A68" s="20" t="inlineStr">
        <is>
          <t>H07</t>
        </is>
      </c>
      <c r="B68" s="20" t="inlineStr">
        <is>
          <t>绿色改变的痕迹</t>
        </is>
      </c>
      <c r="C68" s="34" t="inlineStr">
        <is>
          <t>分类的习惯</t>
        </is>
      </c>
      <c r="D68" s="34" t="inlineStr">
        <is>
          <t>新设置的废弃物分类区前，有位员工停下来确认标识。想清楚该放在哪里之后，他才把手里的东西投进去。</t>
        </is>
      </c>
      <c r="E68" s="34" t="str"/>
      <c r="F68" s="34" t="str"/>
      <c r="G68" s="34" t="str"/>
      <c r="H68" s="34" t="str"/>
      <c r="I68" s="34" t="inlineStr">
        <is>
          <t>否</t>
        </is>
      </c>
      <c r="J68" s="34" t="inlineStr">
        <is>
          <t>waste</t>
        </is>
      </c>
      <c r="K68" s="34" t="str"/>
      <c r="L68" s="66" t="n">
        <v>180</v>
      </c>
      <c r="M68" s="34" t="inlineStr">
        <is>
          <t>是</t>
        </is>
      </c>
      <c r="N68" s="34" t="inlineStr">
        <is>
          <t>是</t>
        </is>
      </c>
      <c r="O68" s="34" t="str"/>
    </row>
    <row r="69">
      <c r="A69" s="20" t="inlineStr">
        <is>
          <t>H08</t>
        </is>
      </c>
      <c r="B69" s="20" t="inlineStr">
        <is>
          <t>绿色改变的痕迹</t>
        </is>
      </c>
      <c r="C69" s="34" t="inlineStr">
        <is>
          <t>一张旧记录</t>
        </is>
      </c>
      <c r="D69" s="34" t="inlineStr">
        <is>
          <t>整理改造资料时，陈工翻出了一张几年前的设备运行记录。他把新旧两张表并排放在一起，准备对照一下变化。</t>
        </is>
      </c>
      <c r="E69" s="34" t="str"/>
      <c r="F69" s="34" t="str"/>
      <c r="G69" s="34" t="str"/>
      <c r="H69" s="34" t="str"/>
      <c r="I69" s="34" t="inlineStr">
        <is>
          <t>否</t>
        </is>
      </c>
      <c r="J69" s="34" t="str"/>
      <c r="K69" s="34" t="inlineStr">
        <is>
          <t>motor|energy|boiler|auto|process</t>
        </is>
      </c>
      <c r="L69" s="66" t="n">
        <v>180</v>
      </c>
      <c r="M69" s="34" t="inlineStr">
        <is>
          <t>是</t>
        </is>
      </c>
      <c r="N69" s="34" t="inlineStr">
        <is>
          <t>是</t>
        </is>
      </c>
      <c r="O69" s="34" t="inlineStr">
        <is>
          <t>完成任一节能改造后</t>
        </is>
      </c>
    </row>
    <row r="70">
      <c r="A70" s="20" t="inlineStr">
        <is>
          <t>I01</t>
        </is>
      </c>
      <c r="B70" s="20" t="inlineStr">
        <is>
          <t>时间与人来人往</t>
        </is>
      </c>
      <c r="C70" s="34" t="inlineStr">
        <is>
          <t>新年日历</t>
        </is>
      </c>
      <c r="D70" s="34" t="inlineStr">
        <is>
          <t>办公室的日历又换了一本。你把旧日历拿下来时，发现上面还记着一些已经完成、也有一些来不及完成的事。</t>
        </is>
      </c>
      <c r="E70" s="34" t="str"/>
      <c r="F70" s="34" t="str"/>
      <c r="G70" s="34" t="inlineStr">
        <is>
          <t>1</t>
        </is>
      </c>
      <c r="H70" s="34" t="str"/>
      <c r="I70" s="34" t="inlineStr">
        <is>
          <t>否</t>
        </is>
      </c>
      <c r="J70" s="34" t="str"/>
      <c r="K70" s="34" t="str"/>
      <c r="L70" s="66" t="n">
        <v>170</v>
      </c>
      <c r="M70" s="34" t="inlineStr">
        <is>
          <t>是</t>
        </is>
      </c>
      <c r="N70" s="34" t="inlineStr">
        <is>
          <t>是</t>
        </is>
      </c>
      <c r="O70" s="34" t="str"/>
    </row>
    <row r="71">
      <c r="A71" s="20" t="inlineStr">
        <is>
          <t>I02</t>
        </is>
      </c>
      <c r="B71" s="20" t="inlineStr">
        <is>
          <t>时间与人来人往</t>
        </is>
      </c>
      <c r="C71" s="34" t="inlineStr">
        <is>
          <t>春节前的行李</t>
        </is>
      </c>
      <c r="D71" s="34" t="inlineStr">
        <is>
          <t>临近春节，有些同事开始讨论回家的车票。休息区里多了不少关于天气、行李和家乡年夜饭的话题。</t>
        </is>
      </c>
      <c r="E71" s="34" t="str"/>
      <c r="F71" s="34" t="str"/>
      <c r="G71" s="34" t="inlineStr">
        <is>
          <t>1-2</t>
        </is>
      </c>
      <c r="H71" s="34" t="str"/>
      <c r="I71" s="34" t="inlineStr">
        <is>
          <t>否</t>
        </is>
      </c>
      <c r="J71" s="34" t="str"/>
      <c r="K71" s="34" t="str"/>
      <c r="L71" s="66" t="n">
        <v>150</v>
      </c>
      <c r="M71" s="34" t="inlineStr">
        <is>
          <t>是</t>
        </is>
      </c>
      <c r="N71" s="34" t="inlineStr">
        <is>
          <t>是</t>
        </is>
      </c>
      <c r="O71" s="34" t="str"/>
    </row>
    <row r="72">
      <c r="A72" s="20" t="inlineStr">
        <is>
          <t>I03</t>
        </is>
      </c>
      <c r="B72" s="20" t="inlineStr">
        <is>
          <t>时间与人来人往</t>
        </is>
      </c>
      <c r="C72" s="34" t="inlineStr">
        <is>
          <t>新来的同事</t>
        </is>
      </c>
      <c r="D72" s="34" t="inlineStr">
        <is>
          <t>今天有几位新员工来办理入职手续。他们站在厂区示意图前认真研究，看起来和当初第一次走进这里的你有些相似。</t>
        </is>
      </c>
      <c r="E72" s="34" t="str"/>
      <c r="F72" s="34" t="str"/>
      <c r="G72" s="34" t="str"/>
      <c r="H72" s="34" t="str"/>
      <c r="I72" s="34" t="inlineStr">
        <is>
          <t>否</t>
        </is>
      </c>
      <c r="J72" s="34" t="str"/>
      <c r="K72" s="34" t="str"/>
      <c r="L72" s="66" t="n">
        <v>100</v>
      </c>
      <c r="M72" s="34" t="inlineStr">
        <is>
          <t>是</t>
        </is>
      </c>
      <c r="N72" s="34" t="inlineStr">
        <is>
          <t>是</t>
        </is>
      </c>
      <c r="O72" s="34" t="str"/>
    </row>
    <row r="73">
      <c r="A73" s="20" t="inlineStr">
        <is>
          <t>I04</t>
        </is>
      </c>
      <c r="B73" s="20" t="inlineStr">
        <is>
          <t>时间与人来人往</t>
        </is>
      </c>
      <c r="C73" s="34" t="inlineStr">
        <is>
          <t>一封告别邮件</t>
        </is>
      </c>
      <c r="D73" s="34" t="inlineStr">
        <is>
          <t>一位同事即将离开工厂，发来一封简短的告别邮件。邮件最后写着：“以后有机会路过，我会回来看看。”</t>
        </is>
      </c>
      <c r="E73" s="34" t="str"/>
      <c r="F73" s="34" t="str"/>
      <c r="G73" s="34" t="str"/>
      <c r="H73" s="34" t="str"/>
      <c r="I73" s="34" t="inlineStr">
        <is>
          <t>否</t>
        </is>
      </c>
      <c r="J73" s="34" t="str"/>
      <c r="K73" s="34" t="str"/>
      <c r="L73" s="66" t="n">
        <v>100</v>
      </c>
      <c r="M73" s="34" t="inlineStr">
        <is>
          <t>是</t>
        </is>
      </c>
      <c r="N73" s="34" t="inlineStr">
        <is>
          <t>是</t>
        </is>
      </c>
      <c r="O73" s="34" t="str"/>
    </row>
    <row r="74">
      <c r="A74" s="20" t="inlineStr">
        <is>
          <t>I05</t>
        </is>
      </c>
      <c r="B74" s="20" t="inlineStr">
        <is>
          <t>时间与人来人往</t>
        </is>
      </c>
      <c r="C74" s="34" t="inlineStr">
        <is>
          <t>老照片</t>
        </is>
      </c>
      <c r="D74" s="34" t="inlineStr">
        <is>
          <t>宣传栏上翻出了一张几年前的厂区照片。你盯着看了很久，才发现照片里那栋已经习以为常的建筑，当时还没有重新粉刷。</t>
        </is>
      </c>
      <c r="E74" s="34" t="str"/>
      <c r="F74" s="34" t="str"/>
      <c r="G74" s="34" t="str"/>
      <c r="H74" s="34" t="n">
        <v>3</v>
      </c>
      <c r="I74" s="34" t="inlineStr">
        <is>
          <t>否</t>
        </is>
      </c>
      <c r="J74" s="34" t="str"/>
      <c r="K74" s="34" t="str"/>
      <c r="L74" s="66" t="n">
        <v>150</v>
      </c>
      <c r="M74" s="34" t="inlineStr">
        <is>
          <t>是</t>
        </is>
      </c>
      <c r="N74" s="34" t="inlineStr">
        <is>
          <t>是</t>
        </is>
      </c>
      <c r="O74" s="34" t="str"/>
    </row>
    <row r="75">
      <c r="A75" s="20" t="inlineStr">
        <is>
          <t>I06</t>
        </is>
      </c>
      <c r="B75" s="20" t="inlineStr">
        <is>
          <t>时间与人来人往</t>
        </is>
      </c>
      <c r="C75" s="34" t="inlineStr">
        <is>
          <t>又一个夏天</t>
        </is>
      </c>
      <c r="D75" s="34" t="inlineStr">
        <is>
          <t>蝉鸣又一次从办公楼外传来。你忽然想起刚来工厂时，也曾在同样闷热的下午坐在这间办公室里看报表。</t>
        </is>
      </c>
      <c r="E75" s="34" t="inlineStr">
        <is>
          <t>夏季</t>
        </is>
      </c>
      <c r="F75" s="34" t="str"/>
      <c r="G75" s="34" t="str"/>
      <c r="H75" s="34" t="n">
        <v>3</v>
      </c>
      <c r="I75" s="34" t="inlineStr">
        <is>
          <t>否</t>
        </is>
      </c>
      <c r="J75" s="34" t="str"/>
      <c r="K75" s="34" t="str"/>
      <c r="L75" s="66" t="n">
        <v>160</v>
      </c>
      <c r="M75" s="34" t="inlineStr">
        <is>
          <t>是</t>
        </is>
      </c>
      <c r="N75" s="34" t="inlineStr">
        <is>
          <t>是</t>
        </is>
      </c>
      <c r="O75" s="34" t="str"/>
    </row>
    <row r="76">
      <c r="A76" s="20" t="inlineStr">
        <is>
          <t>I07</t>
        </is>
      </c>
      <c r="B76" s="20" t="inlineStr">
        <is>
          <t>时间与人来人往</t>
        </is>
      </c>
      <c r="C76" s="34" t="inlineStr">
        <is>
          <t>换了好几支笔</t>
        </is>
      </c>
      <c r="D76" s="34" t="inlineStr">
        <is>
          <t>整理抽屉时，你翻出一支早就写不出字的旧笔。想了半天才记起来，它好像是自己刚上任那年用的。</t>
        </is>
      </c>
      <c r="E76" s="34" t="str"/>
      <c r="F76" s="34" t="str"/>
      <c r="G76" s="34" t="str"/>
      <c r="H76" s="34" t="n">
        <v>5</v>
      </c>
      <c r="I76" s="34" t="inlineStr">
        <is>
          <t>否</t>
        </is>
      </c>
      <c r="J76" s="34" t="str"/>
      <c r="K76" s="34" t="str"/>
      <c r="L76" s="66" t="n">
        <v>170</v>
      </c>
      <c r="M76" s="34" t="inlineStr">
        <is>
          <t>是</t>
        </is>
      </c>
      <c r="N76" s="34" t="inlineStr">
        <is>
          <t>是</t>
        </is>
      </c>
      <c r="O76" s="34" t="str"/>
    </row>
    <row r="77">
      <c r="A77" s="20" t="inlineStr">
        <is>
          <t>I08</t>
        </is>
      </c>
      <c r="B77" s="20" t="inlineStr">
        <is>
          <t>时间与人来人往</t>
        </is>
      </c>
      <c r="C77" s="34" t="inlineStr">
        <is>
          <t>年末的灯</t>
        </is>
      </c>
      <c r="D77" s="34" t="inlineStr">
        <is>
          <t>又到了一年的最后一个工作月。傍晚离开办公楼时，你看见车间、仓库和门卫室的灯依旧亮着，和平常一样。</t>
        </is>
      </c>
      <c r="E77" s="34" t="str"/>
      <c r="F77" s="34" t="str"/>
      <c r="G77" s="34" t="inlineStr">
        <is>
          <t>12</t>
        </is>
      </c>
      <c r="H77" s="34" t="str"/>
      <c r="I77" s="34" t="inlineStr">
        <is>
          <t>否</t>
        </is>
      </c>
      <c r="J77" s="34" t="str"/>
      <c r="K77" s="34" t="str"/>
      <c r="L77" s="66" t="n">
        <v>170</v>
      </c>
      <c r="M77" s="34" t="inlineStr">
        <is>
          <t>是</t>
        </is>
      </c>
      <c r="N77" s="34" t="inlineStr">
        <is>
          <t>是</t>
        </is>
      </c>
      <c r="O77" s="34" t="str"/>
    </row>
  </sheetData>
  <mergeCells count="2">
    <mergeCell ref="A3:O3"/>
    <mergeCell ref="A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668873"/>
    <outlinePr summaryBelow="1" summaryRight="1"/>
    <pageSetUpPr/>
  </sheetPr>
  <dimension ref="A2:U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8" customWidth="1" min="3" max="3"/>
    <col width="11" customWidth="1" min="4" max="4"/>
    <col width="11" customWidth="1" min="5" max="5"/>
    <col width="52" customWidth="1" min="6" max="6"/>
    <col width="17" customWidth="1" min="7" max="7"/>
    <col width="14" customWidth="1" min="8" max="8"/>
    <col width="18" customWidth="1" min="9" max="9"/>
    <col width="14" customWidth="1" min="10" max="10"/>
    <col width="18" customWidth="1" min="11" max="11"/>
    <col width="10" customWidth="1" min="12" max="12"/>
    <col width="38" customWidth="1" min="13" max="13"/>
    <col width="14" customWidth="1" min="14" max="14"/>
    <col width="9" customWidth="1" min="15" max="15"/>
    <col width="9" customWidth="1" min="16" max="16"/>
    <col width="13" customWidth="1" min="17" max="17"/>
    <col width="13" customWidth="1" min="18" max="18"/>
    <col width="70" customWidth="1" min="19" max="19"/>
    <col width="42" customWidth="1" min="20" max="20"/>
    <col width="52" customWidth="1" min="21" max="21"/>
  </cols>
  <sheetData>
    <row r="2">
      <c r="A2" s="1" t="inlineStr">
        <is>
          <t>季度事件</t>
        </is>
      </c>
    </row>
    <row r="3">
      <c r="A3" s="3" t="inlineStr">
        <is>
          <t>本表是季度特殊事件数据库。年度事件在对应年份和季节的季度末参与抽取；每季度最多出现一条，是否出现由经营参数 yearEventChance 控制。可直接修改标题、正文、权重、选项和启用状态。</t>
        </is>
      </c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</row>
    <row r="5">
      <c r="A5" s="12" t="inlineStr">
        <is>
          <t>事件ID</t>
        </is>
      </c>
      <c r="B5" s="24" t="inlineStr">
        <is>
          <t>标题</t>
        </is>
      </c>
      <c r="C5" s="24" t="inlineStr">
        <is>
          <t>触发条件</t>
        </is>
      </c>
      <c r="D5" s="24" t="inlineStr">
        <is>
          <t>出现权重</t>
        </is>
      </c>
      <c r="E5" s="24" t="inlineStr">
        <is>
          <t>是否一次性</t>
        </is>
      </c>
      <c r="F5" s="24" t="inlineStr">
        <is>
          <t>日志正文</t>
        </is>
      </c>
      <c r="G5" s="24" t="inlineStr">
        <is>
          <t>资金变化_万元</t>
        </is>
      </c>
      <c r="H5" s="24" t="inlineStr">
        <is>
          <t>压力变化</t>
        </is>
      </c>
      <c r="I5" s="24" t="inlineStr">
        <is>
          <t>好感对象ID</t>
        </is>
      </c>
      <c r="J5" s="24" t="inlineStr">
        <is>
          <t>好感变化</t>
        </is>
      </c>
      <c r="K5" s="24" t="inlineStr">
        <is>
          <t>关联项目ID</t>
        </is>
      </c>
      <c r="L5" s="24" t="inlineStr">
        <is>
          <t>启用</t>
        </is>
      </c>
      <c r="M5" s="13" t="inlineStr">
        <is>
          <t>备注</t>
        </is>
      </c>
      <c r="N5" s="13" t="inlineStr">
        <is>
          <t>事件类型</t>
        </is>
      </c>
      <c r="O5" s="13" t="inlineStr">
        <is>
          <t>年份</t>
        </is>
      </c>
      <c r="P5" s="13" t="inlineStr">
        <is>
          <t>季节</t>
        </is>
      </c>
      <c r="Q5" s="13" t="inlineStr">
        <is>
          <t>说话人ID</t>
        </is>
      </c>
      <c r="R5" s="13" t="inlineStr">
        <is>
          <t>说话人</t>
        </is>
      </c>
      <c r="S5" s="13" t="inlineStr">
        <is>
          <t>选项JSON</t>
        </is>
      </c>
      <c r="T5" s="13" t="inlineStr">
        <is>
          <t>未触发文本</t>
        </is>
      </c>
      <c r="U5" s="13" t="inlineStr">
        <is>
          <t>原版条件</t>
        </is>
      </c>
    </row>
    <row r="6" ht="42" customHeight="1">
      <c r="A6" s="52" t="inlineStr">
        <is>
          <t>GF15_Y01_SPRING_001</t>
        </is>
      </c>
      <c r="B6" s="67" t="inlineStr">
        <is>
          <t>一号线电机烧了</t>
        </is>
      </c>
      <c r="C6" s="53" t="inlineStr">
        <is>
          <t>第1年·春季</t>
        </is>
      </c>
      <c r="D6" s="67" t="n">
        <v>100</v>
      </c>
      <c r="E6" s="53" t="inlineStr">
        <is>
          <t>是</t>
        </is>
      </c>
      <c r="F6" s="67" t="inlineStr">
        <is>
          <t>厂长，一号线的电机又烧了。修一修还能转，可它吃电吃得凶。换新的要二十五万，而且得停线三天。后天那批货要交，您看着办。</t>
        </is>
      </c>
      <c r="G6" s="53" t="n">
        <v>0</v>
      </c>
      <c r="H6" s="53" t="n">
        <v>0</v>
      </c>
      <c r="I6" s="53" t="inlineStr"/>
      <c r="J6" s="53" t="n">
        <v>0</v>
      </c>
      <c r="K6" s="53" t="inlineStr"/>
      <c r="L6" s="67" t="inlineStr">
        <is>
          <t>是</t>
        </is>
      </c>
      <c r="M6" s="53" t="inlineStr">
        <is>
          <t>源自 green-factory-15-years 厂长路线；原版条件事件已保留条件文本，当前按年份与季节抽取。</t>
        </is>
      </c>
      <c r="N6" s="68" t="inlineStr">
        <is>
          <t>year_story</t>
        </is>
      </c>
      <c r="O6" s="69" t="n">
        <v>1</v>
      </c>
      <c r="P6" s="69" t="inlineStr">
        <is>
          <t>春</t>
        </is>
      </c>
      <c r="Q6" s="68" t="inlineStr">
        <is>
          <t>zhou</t>
        </is>
      </c>
      <c r="R6" s="69" t="inlineStr">
        <is>
          <t>老周</t>
        </is>
      </c>
      <c r="S6" s="69" t="inlineStr">
        <is>
          <t>[{"id": "1", "text": "先修，货要紧", "hint": "花 8 万 · 当天复产 · 老周松口气", "result": "电机连夜拆下来，第二天中午一号线重新转起来，声音还是那么响。货按时出了。当月电费单来的时候，老赵看了一眼，没说话。", "effects": {"money": -8, "aff": {"zhou": 2, "chen": -1}}}, {"id": "2", "text": "换新的，停三天也认了", "hint": "花 25 万 · 这批货要延期", "result": "客户在电话里发了火，最后同意延三天，但下一批订单转给了对门的宏远厂。新电机装好那周，陈工每天下班前去抄一次表——比老的省了将近一成。省下的电费，要两年才补得回丢掉的那批单。", "effects": {"money": -25, "orders": -7, "smoke": -4, "rival": 5, "aff": {"chen": 3, "zhou": -1, "zhao": -2}, "flag": "motor", "fac": {"power": 1}}}, {"id": "3", "text": "先修着，年底再换", "hint": "花 8 万 · 把选择推给未来的自己", "result": "你在本子上写下\"年底换电机\"。这个本子后来又记了很多类似的事。年底盘账的时候，这一条被划掉了——那年年底有更急的事。", "effects": {"money": -8, "smoke": 1, "aff": {"zhou": 1, "chen": -2}}}]</t>
        </is>
      </c>
      <c r="T6" s="69" t="inlineStr">
        <is>
          <t>电机一直没修利索，那两个月三天两头停机，交期一延再延。老周自己带人凑合修了三次，没跟你提第四次。</t>
        </is>
      </c>
      <c r="U6" s="68" t="inlineStr"/>
    </row>
    <row r="7" ht="42" customHeight="1">
      <c r="A7" s="52" t="inlineStr">
        <is>
          <t>GF15_Y01_AUTUMN_002</t>
        </is>
      </c>
      <c r="B7" s="67" t="inlineStr">
        <is>
          <t>一笔压价的急单</t>
        </is>
      </c>
      <c r="C7" s="53" t="inlineStr">
        <is>
          <t>第1年·秋季</t>
        </is>
      </c>
      <c r="D7" s="67" t="n">
        <v>100</v>
      </c>
      <c r="E7" s="53" t="inlineStr">
        <is>
          <t>是</t>
        </is>
      </c>
      <c r="F7" s="67" t="inlineStr">
        <is>
          <t>有笔急单，量不小，但价压到了成本线上。宏远厂也在抢。接，这季度现金流就活了；不接，年底的账难看，明年集团给的额度也跟着缩。</t>
        </is>
      </c>
      <c r="G7" s="53" t="n">
        <v>0</v>
      </c>
      <c r="H7" s="53" t="n">
        <v>0</v>
      </c>
      <c r="I7" s="53" t="inlineStr"/>
      <c r="J7" s="53" t="n">
        <v>0</v>
      </c>
      <c r="K7" s="53" t="inlineStr"/>
      <c r="L7" s="67" t="inlineStr">
        <is>
          <t>是</t>
        </is>
      </c>
      <c r="M7" s="53" t="inlineStr">
        <is>
          <t>源自 green-factory-15-years 厂长路线；原版条件事件已保留条件文本，当前按年份与季节抽取。</t>
        </is>
      </c>
      <c r="N7" s="68" t="inlineStr">
        <is>
          <t>year_story</t>
        </is>
      </c>
      <c r="O7" s="69" t="n">
        <v>1</v>
      </c>
      <c r="P7" s="69" t="inlineStr">
        <is>
          <t>秋</t>
        </is>
      </c>
      <c r="Q7" s="68" t="inlineStr">
        <is>
          <t>zhao</t>
        </is>
      </c>
      <c r="R7" s="69" t="inlineStr">
        <is>
          <t>老赵</t>
        </is>
      </c>
      <c r="S7" s="69" t="inlineStr">
        <is>
          <t>[{"id": "1", "text": "接，先把现金流转起来", "hint": "钱多了 · 人要连轴转两个月", "result": "那两个月，三车间的灯一直亮到十一点。单子交了，钱进来了。老周说：\"钱是挣到了，人也快熬干了。\"年后走了两个人。", "effects": {"money": 32, "orders": 6, "morale": -8, "smoke": 3, "group": 6, "rival": -4, "aff": {"zhao": 2, "zhou": -2}, "flag": "ord_take"}}, {"id": "2", "text": "不接，这种价没意义", "hint": "老周赞成 · 集团那边不好交代", "result": "宏远厂接了，他们厂长在行业群里发了张加班的照片，配文\"感谢客户信任\"。年底集团经营分析会上，你的产能利用率排在后面，马副总问了句\"你们的产线是不是有点闲\"。", "effects": {"money": -4, "orders": -6, "morale": 4, "group": -8, "rival": 8, "aff": {"zhao": -2, "zhou": 3}, "flag": "ord_refuse"}}, {"id": "3", "text": "谈：价格照给，交期放宽", "hint": "要么谈成，要么谈崩", "result": "林薇跑了三趟。客户同意分两批交货，条件是账期拉到九十天。少赚，还压资金，但车间没有加班到半夜。她回来说：\"客户其实没那么难说话，是我们自己不敢开口。\"", "effects": {"money": 14, "orders": 4, "morale": 1, "group": 1, "aff": {"lin": 3, "zhao": -1}, "flag": "ord_nego"}}]</t>
        </is>
      </c>
      <c r="T7" s="69" t="inlineStr">
        <is>
          <t>你没顾上表态，林薇按老规矩报了价，客户转头给了宏远。这种单子丢了不心疼，但老赵那本账上，这个季度是空的。</t>
        </is>
      </c>
      <c r="U7" s="68" t="inlineStr"/>
    </row>
    <row r="8" ht="42" customHeight="1">
      <c r="A8" s="52" t="inlineStr">
        <is>
          <t>GF15_Y02_SPRING_003</t>
        </is>
      </c>
      <c r="B8" s="67" t="inlineStr">
        <is>
          <t>老赵问：这厂靠什么吃饭</t>
        </is>
      </c>
      <c r="C8" s="53" t="inlineStr">
        <is>
          <t>第2年·春季</t>
        </is>
      </c>
      <c r="D8" s="67" t="n">
        <v>100</v>
      </c>
      <c r="E8" s="53" t="inlineStr">
        <is>
          <t>是</t>
        </is>
      </c>
      <c r="F8" s="67" t="inlineStr">
        <is>
          <t>厂长，来了快一年了，有句话我得问。这个厂到底靠什么吃饭？报价再低总有人比我们低，技术又比不过南方那几家。想清楚这个，我才知道每一笔钱该往哪儿批。</t>
        </is>
      </c>
      <c r="G8" s="53" t="n">
        <v>0</v>
      </c>
      <c r="H8" s="53" t="n">
        <v>0</v>
      </c>
      <c r="I8" s="53" t="inlineStr"/>
      <c r="J8" s="53" t="n">
        <v>0</v>
      </c>
      <c r="K8" s="53" t="inlineStr"/>
      <c r="L8" s="67" t="inlineStr">
        <is>
          <t>是</t>
        </is>
      </c>
      <c r="M8" s="53" t="inlineStr">
        <is>
          <t>源自 green-factory-15-years 厂长路线；原版条件事件已保留条件文本，当前按年份与季节抽取。</t>
        </is>
      </c>
      <c r="N8" s="68" t="inlineStr">
        <is>
          <t>year_story</t>
        </is>
      </c>
      <c r="O8" s="69" t="n">
        <v>2</v>
      </c>
      <c r="P8" s="69" t="inlineStr">
        <is>
          <t>春</t>
        </is>
      </c>
      <c r="Q8" s="68" t="inlineStr">
        <is>
          <t>zhao</t>
        </is>
      </c>
      <c r="R8" s="69" t="inlineStr">
        <is>
          <t>老赵</t>
        </is>
      </c>
      <c r="S8" s="69" t="inlineStr">
        <is>
          <t>[{"id": "1", "text": "靠成本：谁也别想比我们便宜", "hint": "接得多、赚得薄 · 绿色投入回本最慢", "result": "方向定了。往后几年，凡是能压的都压：采购比价、工时定额、能耗指标。老赵如鱼得水，报表越来越干净。但林薇提醒过一句：\"走这条路，客户永远只跟你谈价格，别的什么都不会跟你谈。\"", "effects": {"money": 20, "orders": 6, "morale": -2, "aff": {"zhao": 4, "lin": -2}, "flag": "m_cost"}}, {"id": "2", "text": "靠技术：做别人做不了的活", "hint": "前几年会很紧 · 但技改的效果会翻倍", "result": "方向定了。陈工听说以后，那天在办公室待到十点。往后你的钱大部分会花在设备和工艺上，账面会难看好几年。老赵说了句实话：\"这条路要是走成了，我们就不用天天跟人吵价钱；走不成，我们就死在半路上。\"", "effects": {"money": -15, "tech": 14, "aff": {"chen": 5, "zhao": -2}, "flag": "m_tech"}}, {"id": "3", "text": "靠客户：把牌子和口碑做起来", "hint": "要持续投合规和品牌 · 名声就是订单", "result": "方向定了。往后你会在认证、审核、宣传上花掉很多钱，这些钱短期看都是\"没有产出\"的。林薇很高兴，老赵不太高兴：\"这条路上，你花的每一分钱都要等别人认了才算数。\"", "effects": {"money": -10, "fame": 8, "aff": {"lin": 5, "zhao": -3}, "flag": "m_brand"}}]</t>
        </is>
      </c>
      <c r="T8" s="69" t="inlineStr">
        <is>
          <t>这个问题被搁置了。往后几年每次做预算，老赵都得凭感觉批钱——没有方向的厂，钱花得最散。</t>
        </is>
      </c>
      <c r="U8" s="68" t="inlineStr"/>
    </row>
    <row r="9" ht="42" customHeight="1">
      <c r="A9" s="52" t="inlineStr">
        <is>
          <t>GF15_Y02_SUMMER_004</t>
        </is>
      </c>
      <c r="B9" s="67" t="inlineStr">
        <is>
          <t>客户发来一份八页问卷</t>
        </is>
      </c>
      <c r="C9" s="53" t="inlineStr">
        <is>
          <t>第2年·夏季</t>
        </is>
      </c>
      <c r="D9" s="67" t="n">
        <v>100</v>
      </c>
      <c r="E9" s="53" t="inlineStr">
        <is>
          <t>是</t>
        </is>
      </c>
      <c r="F9" s="67" t="inlineStr">
        <is>
          <t>客户发来一份问卷，八页纸，问我们用不用绿电、一年排多少碳、有没有环保处罚记录。以前从来没人问过这些。宏远厂找了家咨询公司，两周就交上去了。</t>
        </is>
      </c>
      <c r="G9" s="53" t="n">
        <v>0</v>
      </c>
      <c r="H9" s="53" t="n">
        <v>0</v>
      </c>
      <c r="I9" s="53" t="inlineStr"/>
      <c r="J9" s="53" t="n">
        <v>0</v>
      </c>
      <c r="K9" s="53" t="inlineStr"/>
      <c r="L9" s="67" t="inlineStr">
        <is>
          <t>是</t>
        </is>
      </c>
      <c r="M9" s="53" t="inlineStr">
        <is>
          <t>源自 green-factory-15-years 厂长路线；原版条件事件已保留条件文本，当前按年份与季节抽取。</t>
        </is>
      </c>
      <c r="N9" s="68" t="inlineStr">
        <is>
          <t>year_story</t>
        </is>
      </c>
      <c r="O9" s="69" t="n">
        <v>2</v>
      </c>
      <c r="P9" s="69" t="inlineStr">
        <is>
          <t>夏</t>
        </is>
      </c>
      <c r="Q9" s="68" t="inlineStr">
        <is>
          <t>lin</t>
        </is>
      </c>
      <c r="R9" s="69" t="inlineStr">
        <is>
          <t>林薇</t>
        </is>
      </c>
      <c r="S9" s="69" t="inlineStr">
        <is>
          <t>[{"id": "1", "text": "随便填填交上去", "hint": "省事 · 把问题留到以后", "result": "问卷交了上去，大部分栏填的是\"符合相关要求\"。这一轮你留在了名单里。林薇把那份问卷打印出来压在玻璃板下——她说总有一天会再被问到。", "effects": {"orders": 2, "fame": -2, "flag": "q_fake", "aff": {"lin": -2}}}, {"id": "2", "text": "照实填，不知道的就写不知道", "hint": "这一轮大概率出局", "result": "那份问卷一半是空的。三周后短名单公布，你们不在上面，宏远在。但采购回了封私人邮件，只有一句：\"感谢坦诚，两年后我们会复评，届时希望看到变化。\"林薇把邮件转给你，标题是\"两年\"。", "effects": {"orders": -8, "fame": 4, "rival": 6, "aff": {"lin": 3}, "flag": "q_honest"}}, {"id": "3", "text": "也找家咨询公司，做一份漂亮的", "hint": "花 6 万 · 好看，但是空的", "result": "代填的问卷很专业，图表都是彩色的。林薇翻了两页就合上：\"这上面写我们有能源管理体系。厂长，我们连电表都只有总表一块。\"这份材料留了底，两年后客户来现场时，它还在档案柜里。", "effects": {"money": -6, "orders": 4, "fame": 2, "flag": "q_fake", "aff": {"lin": -3, "chen": -2}}}]</t>
        </is>
      </c>
      <c r="T9" s="69" t="inlineStr">
        <is>
          <t>问卷过了期限没交。三周后短名单公布，你们不在上面。林薇打电话去问，对方说：没收到回复，就当贵司没兴趣。</t>
        </is>
      </c>
      <c r="U9" s="68" t="inlineStr"/>
    </row>
    <row r="10" ht="42" customHeight="1">
      <c r="A10" s="52" t="inlineStr">
        <is>
          <t>GF15_Y02_AUTUMN_005</t>
        </is>
      </c>
      <c r="B10" s="67" t="inlineStr">
        <is>
          <t>陈工想装几块电表</t>
        </is>
      </c>
      <c r="C10" s="53" t="inlineStr">
        <is>
          <t>第2年·秋季</t>
        </is>
      </c>
      <c r="D10" s="67" t="n">
        <v>100</v>
      </c>
      <c r="E10" s="53" t="inlineStr">
        <is>
          <t>是</t>
        </is>
      </c>
      <c r="F10" s="67" t="inlineStr">
        <is>
          <t>我想在几个大车间装分表，六万块。现在全厂就一块总表，每个月电费单来了，我只能告诉您花了多少钱，说不清是哪儿花的。</t>
        </is>
      </c>
      <c r="G10" s="53" t="n">
        <v>0</v>
      </c>
      <c r="H10" s="53" t="n">
        <v>0</v>
      </c>
      <c r="I10" s="53" t="inlineStr"/>
      <c r="J10" s="53" t="n">
        <v>0</v>
      </c>
      <c r="K10" s="53" t="inlineStr"/>
      <c r="L10" s="67" t="inlineStr">
        <is>
          <t>是</t>
        </is>
      </c>
      <c r="M10" s="53" t="inlineStr">
        <is>
          <t>源自 green-factory-15-years 厂长路线；原版条件事件已保留条件文本，当前按年份与季节抽取。</t>
        </is>
      </c>
      <c r="N10" s="68" t="inlineStr">
        <is>
          <t>year_story</t>
        </is>
      </c>
      <c r="O10" s="69" t="n">
        <v>2</v>
      </c>
      <c r="P10" s="69" t="inlineStr">
        <is>
          <t>秋</t>
        </is>
      </c>
      <c r="Q10" s="68" t="inlineStr">
        <is>
          <t>chen</t>
        </is>
      </c>
      <c r="R10" s="69" t="inlineStr">
        <is>
          <t>陈工</t>
        </is>
      </c>
      <c r="S10" s="69" t="inlineStr">
        <is>
          <t>[{"id": "1", "text": "装，我也想知道电花在哪", "hint": "花 6 万 · 车间会觉得是在盯着他们", "result": "表装上的第二个月，陈工拿着手画的图来找你：空压机房夜里没生产，用电却和白天差不多——管路漏了三年没人发现。补完当月省了一万一。但夜班的人私下嘀咕，说厂里开始查他们的岗了。", "effects": {"money": -6, "smoke": -3, "morale": -3, "aff": {"chen": 4, "zhou": -1}, "flag": "meter", "fac": {"meter": 1}}}, {"id": "2", "text": "六万块买几块表，没必要", "hint": "省下钱 · 陈工失望", "result": "陈工\"哦\"了一声就走了。后来很久他都没再提过建议。你偶尔在下班路上看见他一个人蹲在空压机房门口，拿着本子写写画画。", "effects": {"aff": {"chen": -4}}}, {"id": "3", "text": "先装一块，看看有没有用", "hint": "花 2 万 · 算是给个机会", "result": "一块表装在三车间。数据不多，但足以让陈工发现夜班待机能耗高得离谱。他写了一页纸交上来，最后一行是：\"如果有第二块表，我能找出更多。\"", "effects": {"money": -2, "smoke": -1, "aff": {"chen": 2}, "flag": "meter1"}}]</t>
        </is>
      </c>
      <c r="T10" s="69" t="inlineStr">
        <is>
          <t>六万块的事你一直没批。陈工后来再没提过，那几个月他一个人蹲在空压机房门口，拿本子写写画画。</t>
        </is>
      </c>
      <c r="U10" s="68" t="inlineStr"/>
    </row>
    <row r="11" ht="42" customHeight="1">
      <c r="A11" s="52" t="inlineStr">
        <is>
          <t>GF15_Y03_SPRING_006</t>
        </is>
      </c>
      <c r="B11" s="67" t="inlineStr">
        <is>
          <t>老周私下说：废水的事</t>
        </is>
      </c>
      <c r="C11" s="53" t="inlineStr">
        <is>
          <t>第3年·春季</t>
        </is>
      </c>
      <c r="D11" s="67" t="n">
        <v>100</v>
      </c>
      <c r="E11" s="53" t="inlineStr">
        <is>
          <t>是</t>
        </is>
      </c>
      <c r="F11" s="67" t="inlineStr">
        <is>
          <t>厂长，废水处理那套设备老了，处理量跟不上，近半年有几次是直接从雨水管走的。没人看见。要治得停线改造，四十万。这话我只跟您一个人说。</t>
        </is>
      </c>
      <c r="G11" s="53" t="n">
        <v>0</v>
      </c>
      <c r="H11" s="53" t="n">
        <v>0</v>
      </c>
      <c r="I11" s="53" t="inlineStr"/>
      <c r="J11" s="53" t="n">
        <v>0</v>
      </c>
      <c r="K11" s="53" t="inlineStr"/>
      <c r="L11" s="67" t="inlineStr">
        <is>
          <t>是</t>
        </is>
      </c>
      <c r="M11" s="53" t="inlineStr">
        <is>
          <t>源自 green-factory-15-years 厂长路线；原版条件事件已保留条件文本，当前按年份与季节抽取。</t>
        </is>
      </c>
      <c r="N11" s="68" t="inlineStr">
        <is>
          <t>year_story</t>
        </is>
      </c>
      <c r="O11" s="69" t="n">
        <v>3</v>
      </c>
      <c r="P11" s="69" t="inlineStr">
        <is>
          <t>春</t>
        </is>
      </c>
      <c r="Q11" s="68" t="inlineStr">
        <is>
          <t>zhou</t>
        </is>
      </c>
      <c r="R11" s="69" t="inlineStr">
        <is>
          <t>老周</t>
        </is>
      </c>
      <c r="S11" s="69" t="inlineStr">
        <is>
          <t>[{"id": "1", "text": "停线改造，该花的钱花", "hint": "花 40 万 · 停产两周 · 现在最痛", "result": "两周停产，两笔订单延期，客户扣了违约金。改造完那天，老周站在新的调节池边上说：\"这钱花得肉疼，可我这心里踏实了。\"这件事厂里没几个人知道，但知道的人都记住了你是怎么做的。", "effects": {"money": -40, "orders": -8, "morale": 4, "fame": 2, "aff": {"zhou": 4, "zhao": -2}, "flag": "water_fixed", "fac": {"water": 1}}}, {"id": "2", "text": "先控制排放量，等年底再说", "hint": "能拖一阵 · 隐患留着", "result": "你让老周把生产排期错开，尽量不超负荷。多数时候没问题，个别赶工的日子还是走了雨水管。这件事没有再被提起，直到很久以后。", "effects": {"money": -4, "risk": 1, "aff": {"zhou": 1}, "flag": "water_risk"}}, {"id": "3", "text": "这四十万，先给车间换空调和更衣室", "hint": "省 40 万 · 工人会很高兴", "result": "夏天车间第一次有了空调，更衣室也翻新了，班组的人见你都笑。老周站在新装的柜子前看了很久，说了句\"厂长办了件实事\"，然后补了一句：\"那个口的事，我就不再提了。\"这两句话隔了三秒，中间的那三秒你听懂了。", "effects": {"morale": 10, "risk": 2, "aff": {"zhou": -3}, "flag": "water_risk"}}]</t>
        </is>
      </c>
      <c r="T11" s="69" t="inlineStr">
        <is>
          <t>你没接这个话头。老周站了几秒，说了句我知道了，转身走了。那半年赶工的日子，废水还是从雨水管走的——只是从此再没人跟你提起。</t>
        </is>
      </c>
      <c r="U11" s="68" t="inlineStr"/>
    </row>
    <row r="12" ht="42" customHeight="1">
      <c r="A12" s="52" t="inlineStr">
        <is>
          <t>GF15_Y03_SUMMER_007</t>
        </is>
      </c>
      <c r="B12" s="67" t="inlineStr">
        <is>
          <t>执法人员上门检查</t>
        </is>
      </c>
      <c r="C12" s="53" t="inlineStr">
        <is>
          <t>第3年·夏季</t>
        </is>
      </c>
      <c r="D12" s="67" t="n">
        <v>100</v>
      </c>
      <c r="E12" s="53" t="inlineStr">
        <is>
          <t>是</t>
        </is>
      </c>
      <c r="F12" s="67" t="inlineStr">
        <is>
          <t>周三早上九点，两辆车停在厂门口。执法人员要看废气排口的在线监测记录、危废转移联单和排污许可证执行报告。老周在你身后小声说：那个柜子的钥匙在谁手里来着？</t>
        </is>
      </c>
      <c r="G12" s="53" t="n">
        <v>0</v>
      </c>
      <c r="H12" s="53" t="n">
        <v>0</v>
      </c>
      <c r="I12" s="53" t="inlineStr"/>
      <c r="J12" s="53" t="n">
        <v>0</v>
      </c>
      <c r="K12" s="53" t="inlineStr"/>
      <c r="L12" s="67" t="inlineStr">
        <is>
          <t>是</t>
        </is>
      </c>
      <c r="M12" s="53" t="inlineStr">
        <is>
          <t>源自 green-factory-15-years 厂长路线；原版条件事件已保留条件文本，当前按年份与季节抽取。</t>
        </is>
      </c>
      <c r="N12" s="68" t="inlineStr">
        <is>
          <t>year_story</t>
        </is>
      </c>
      <c r="O12" s="69" t="n">
        <v>3</v>
      </c>
      <c r="P12" s="69" t="inlineStr">
        <is>
          <t>夏</t>
        </is>
      </c>
      <c r="Q12" s="68" t="inlineStr">
        <is>
          <t>narr</t>
        </is>
      </c>
      <c r="R12" s="69" t="inlineStr">
        <is>
          <t>旁白</t>
        </is>
      </c>
      <c r="S12" s="69" t="inlineStr">
        <is>
          <t>[{"id": "1", "text": "如实说：有些记录我们没做", "hint": "认罚，但态度在", "result": "你没有绕。执法人员反倒缓了语气，开了限期整改通知书，罚十五万。临走那位说：\"很多厂到这一步还在找钥匙。你们至少知道自己缺什么。\"整改期三个月，陈工第一次有了正当理由把台账制度建起来。", "effects": {"money": -15, "fame": -3, "morale": -2, "flag": "fined", "aff": {"chen": 2}}}, {"id": "2", "text": "先带他们去看新装的设备", "hint": "拖一拖 · 不解决问题", "result": "那位很客气地看完设备，然后说：\"现在可以看台账了吗。\"该查的还是查了，罚了二十万，通报上了市局网站。宏远厂的人当天就在群里转发了那条链接。", "effects": {"money": -20, "fame": -6, "morale": -3, "rival": 4, "flag": "fined"}}, {"id": "3", "text": "先打个电话，看能不能缓一缓", "hint": "这一次大概管用 · 以后就说不准了", "result": "电话打通了，那边说\"按程序走，我尽量说说\"。当天只开了一份责令改正，罚了五万。事情压下去了，但你欠了一份人情，而且从此厂里管台账的人都知道：查得严不严，是可以打电话的。往后三年，那个柜子的钥匙又不知道在谁手里了。", "effects": {"money": -5, "risk": 2, "group": -2, "morale": -2, "flag": "pulled_string"}}]</t>
        </is>
      </c>
      <c r="T12" s="69" t="inlineStr">
        <is>
          <t>你在外地开会，副手接待的。台账翻到一半就翻不下去了，开了整改通知书，罚二十万。回来后没有人愿意详细跟你讲那天的经过。</t>
        </is>
      </c>
      <c r="U12" s="68" t="inlineStr"/>
    </row>
    <row r="13" ht="42" customHeight="1">
      <c r="A13" s="52" t="inlineStr">
        <is>
          <t>GF15_Y03_AUTUMN_008</t>
        </is>
      </c>
      <c r="B13" s="67" t="inlineStr">
        <is>
          <t>有人来谈屋顶光伏</t>
        </is>
      </c>
      <c r="C13" s="53" t="inlineStr">
        <is>
          <t>第3年·秋季</t>
        </is>
      </c>
      <c r="D13" s="67" t="n">
        <v>100</v>
      </c>
      <c r="E13" s="53" t="inlineStr">
        <is>
          <t>是</t>
        </is>
      </c>
      <c r="F13" s="67" t="inlineStr">
        <is>
          <t>一家做光伏的公司找上门，说你的厂房屋顶两万平米空着可惜。老周插了一句：厂长，那屋顶去年就在漏水，先修还是先铺板子？</t>
        </is>
      </c>
      <c r="G13" s="53" t="n">
        <v>0</v>
      </c>
      <c r="H13" s="53" t="n">
        <v>0</v>
      </c>
      <c r="I13" s="53" t="inlineStr"/>
      <c r="J13" s="53" t="n">
        <v>0</v>
      </c>
      <c r="K13" s="53" t="inlineStr"/>
      <c r="L13" s="67" t="inlineStr">
        <is>
          <t>是</t>
        </is>
      </c>
      <c r="M13" s="53" t="inlineStr">
        <is>
          <t>源自 green-factory-15-years 厂长路线；原版条件事件已保留条件文本，当前按年份与季节抽取。</t>
        </is>
      </c>
      <c r="N13" s="68" t="inlineStr">
        <is>
          <t>year_story</t>
        </is>
      </c>
      <c r="O13" s="69" t="n">
        <v>3</v>
      </c>
      <c r="P13" s="69" t="inlineStr">
        <is>
          <t>秋</t>
        </is>
      </c>
      <c r="Q13" s="68" t="inlineStr">
        <is>
          <t>narr</t>
        </is>
      </c>
      <c r="R13" s="69" t="inlineStr">
        <is>
          <t>旁白</t>
        </is>
      </c>
      <c r="S13" s="69" t="inlineStr">
        <is>
          <t>[{"id": "1", "text": "连屋顶一起修，自己投", "hint": "花 62 万 · 账上会很紧", "result": "防水做完才铺的板。并网那天陈工在屋顶待了一下午，傍晚发来一张照片：一整片深蓝色的板子，后面是烧红的云。那年年底账上剩不到五十万，老赵开会时把计算器按得很响。", "effects": {"money": -62, "smoke": -12, "morale": 3, "aff": {"chen": 4, "zhao": -2}, "flag": "pv_own", "fac": {"roof": 1}}}, {"id": "2", "text": "租给他们，一分钱不用出", "hint": "免费 · 但这些电不算你的", "result": "合同签得很顺，二十年后资产归你，用电也便宜了些。屋顶漏水的事对方说不归他们管，你另外花八万补了几处。后来客户来问\"你们自己发多少绿电\"，你才知道租出去的屋顶答不上这道题。", "effects": {"money": -8, "smoke": -5, "flag": "pv_lease"}}, {"id": "3", "text": "只修屋顶，板子的事以后再说", "hint": "花 12 万 · 车间不漏水了", "result": "雨季来的时候，三车间第一次没有接水盆，工人挺高兴。那家光伏公司的人走时留了张名片，说想通了随时联系。名片在抽屉里越压越下面。", "effects": {"money": -12, "morale": 5, "aff": {"zhou": 2}}}]</t>
        </is>
      </c>
      <c r="T13" s="69" t="inlineStr">
        <is>
          <t>你说再研究研究。那家公司的人留了张名片就走了，名片在抽屉里越压越下面。屋顶继续空着，也继续漏水。</t>
        </is>
      </c>
      <c r="U13" s="68" t="inlineStr"/>
    </row>
    <row r="14" ht="42" customHeight="1">
      <c r="A14" s="52" t="inlineStr">
        <is>
          <t>GF15_Y04_SPRING_009</t>
        </is>
      </c>
      <c r="B14" s="67" t="inlineStr">
        <is>
          <t>大客户要收窄供应商名单</t>
        </is>
      </c>
      <c r="C14" s="53" t="inlineStr">
        <is>
          <t>第4年·春季</t>
        </is>
      </c>
      <c r="D14" s="67" t="n">
        <v>100</v>
      </c>
      <c r="E14" s="53" t="inlineStr">
        <is>
          <t>是</t>
        </is>
      </c>
      <c r="F14" s="67" t="inlineStr">
        <is>
          <t>那家大客户要收窄供应商名单，留下来得有绿色工厂或者环境管理体系的资质。四十万，还要整整一年整改，车间要天天配合。宏远厂上个月已经启动了。</t>
        </is>
      </c>
      <c r="G14" s="53" t="n">
        <v>0</v>
      </c>
      <c r="H14" s="53" t="n">
        <v>0</v>
      </c>
      <c r="I14" s="53" t="inlineStr"/>
      <c r="J14" s="53" t="n">
        <v>0</v>
      </c>
      <c r="K14" s="53" t="inlineStr"/>
      <c r="L14" s="67" t="inlineStr">
        <is>
          <t>是</t>
        </is>
      </c>
      <c r="M14" s="53" t="inlineStr">
        <is>
          <t>源自 green-factory-15-years 厂长路线；原版条件事件已保留条件文本，当前按年份与季节抽取。</t>
        </is>
      </c>
      <c r="N14" s="68" t="inlineStr">
        <is>
          <t>year_story</t>
        </is>
      </c>
      <c r="O14" s="69" t="n">
        <v>4</v>
      </c>
      <c r="P14" s="69" t="inlineStr">
        <is>
          <t>春</t>
        </is>
      </c>
      <c r="Q14" s="68" t="inlineStr">
        <is>
          <t>lin</t>
        </is>
      </c>
      <c r="R14" s="69" t="inlineStr">
        <is>
          <t>林薇</t>
        </is>
      </c>
      <c r="S14" s="69" t="inlineStr">
        <is>
          <t>[{"id": "1", "text": "做，认认真真做一遍", "hint": "花 40 万 · 车间会被折腾一年", "result": "那一年厂里到处是人在整理文件、贴标识、补台账。老周嘴上抱怨\"天天搞形式\"，班组怨声载道。但审核那天，是他领着审核员一间间车间走的，每个问题都答得上来。证书下来那天他把复印件贴在了车间门口。", "effects": {"money": -40, "orders": 14, "fame": 8, "morale": -5, "smoke": -4, "group": 5, "rival": -6, "flag": "cert", "aff": {"lin": 3, "zhou": 2}}}, {"id": "2", "text": "花钱买个证，别折腾车间", "hint": "花 18 万 · 两个月拿证 · 车间照常生产", "result": "证书两个月就到了，挂在会议室墙上，很好看。名单保住了，车间一天没停，省下的二十二万和一年工期都实打实。林薇看着那张纸说：\"客户明年要来现场审核。到时候他们不看墙，看车间。\"", "effects": {"money": -18, "orders": 11, "fame": 3, "morale": 2, "risk": 1, "flag": "cert_fake", "aff": {"lin": -2, "chen": -2}}}, {"id": "3", "text": "不做，这单丢了就丢了", "hint": "四成的量", "result": "名单公布那天你们不在上面，宏远在。林薇在办公室坐了很久，然后开始一个个打电话找新客户。她没抱怨，但那个季度她瘦了七斤。", "effects": {"orders": -18, "morale": -4, "group": -6, "rival": 10, "aff": {"lin": -3}}}]</t>
        </is>
      </c>
      <c r="T14" s="69" t="inlineStr">
        <is>
          <t>名单公布那天你们不在上面，宏远在。这件事从头到尾你只在会上听林薇提过一次，当时手上正忙着别的。</t>
        </is>
      </c>
      <c r="U14" s="68" t="inlineStr"/>
    </row>
    <row r="15" ht="42" customHeight="1">
      <c r="A15" s="52" t="inlineStr">
        <is>
          <t>GF15_Y04_AUTUMN_010</t>
        </is>
      </c>
      <c r="B15" s="67" t="inlineStr">
        <is>
          <t>涨工资还是买设备</t>
        </is>
      </c>
      <c r="C15" s="53" t="inlineStr">
        <is>
          <t>第4年·秋季</t>
        </is>
      </c>
      <c r="D15" s="67" t="n">
        <v>100</v>
      </c>
      <c r="E15" s="53" t="inlineStr">
        <is>
          <t>是</t>
        </is>
      </c>
      <c r="F15" s="67" t="inlineStr">
        <is>
          <t>厂长，班组三年没涨过工资了。陈工那边说要买套余热回收，也要这个数。钱只够一头。我不替谁说话，就是把话摆上来。</t>
        </is>
      </c>
      <c r="G15" s="53" t="n">
        <v>0</v>
      </c>
      <c r="H15" s="53" t="n">
        <v>0</v>
      </c>
      <c r="I15" s="53" t="inlineStr"/>
      <c r="J15" s="53" t="n">
        <v>0</v>
      </c>
      <c r="K15" s="53" t="inlineStr"/>
      <c r="L15" s="67" t="inlineStr">
        <is>
          <t>是</t>
        </is>
      </c>
      <c r="M15" s="53" t="inlineStr">
        <is>
          <t>源自 green-factory-15-years 厂长路线；原版条件事件已保留条件文本，当前按年份与季节抽取。</t>
        </is>
      </c>
      <c r="N15" s="68" t="inlineStr">
        <is>
          <t>year_story</t>
        </is>
      </c>
      <c r="O15" s="69" t="n">
        <v>4</v>
      </c>
      <c r="P15" s="69" t="inlineStr">
        <is>
          <t>秋</t>
        </is>
      </c>
      <c r="Q15" s="68" t="inlineStr">
        <is>
          <t>zhou</t>
        </is>
      </c>
      <c r="R15" s="69" t="inlineStr">
        <is>
          <t>老周</t>
        </is>
      </c>
      <c r="S15" s="69" t="inlineStr">
        <is>
          <t>[{"id": "1", "text": "先给工人涨", "hint": "花 30 万 · 人心", "result": "涨薪通知贴出去那天，车间里有人放了挂鞭炮，被老周骂了一顿——厂区不许明火。但他自己笑得比谁都开。陈工的报价单又在抽屉里躺了一年，那年冬天蒸汽锅炉还是照常烧。", "effects": {"money": -30, "morale": 12, "smoke": 2, "aff": {"zhou": 4, "chen": -3}}}, {"id": "2", "text": "先买设备，工资明年一定涨", "hint": "花 30 万 · 欠一句话", "result": "余热回收装好，锅炉负荷降了两成，一年省下的煤气钱比设备还贵。陈工很兴奋，老周没说什么，只是那阵子很少再来办公室坐了。你记着自己欠了一句话——这句话要么明年还，要么永远还不上。", "effects": {"money": -30, "smoke": -8, "morale": -8, "aff": {"chen": 4, "zhou": -4}, "flag": "heat", "fac": {"power": 2}}}, {"id": "3", "text": "两边各一半", "hint": "花 34 万 · 谁都不满意", "result": "工资涨了一点，设备买了个小的。老周说\"聊胜于无\"，陈工说\"这个功率不够\"。你发现有些事情是没法折中的，但当时你确实想不出更好的办法。", "effects": {"money": -34, "smoke": -3, "morale": 3, "aff": {"zhou": 1, "chen": 1}}}]</t>
        </is>
      </c>
      <c r="T15" s="69" t="inlineStr">
        <is>
          <t>两件事都没办。第二年春天走了四个熟练工，陈工的报价单在抽屉里又躺了一年。老周那阵子话很少。</t>
        </is>
      </c>
      <c r="U15" s="68" t="inlineStr"/>
    </row>
    <row r="16" ht="42" customHeight="1">
      <c r="A16" s="52" t="inlineStr">
        <is>
          <t>GF15_Y05_SPRING_011</t>
        </is>
      </c>
      <c r="B16" s="67" t="inlineStr">
        <is>
          <t>陈工提出辞职</t>
        </is>
      </c>
      <c r="C16" s="53" t="inlineStr">
        <is>
          <t>第5年·春季</t>
        </is>
      </c>
      <c r="D16" s="67" t="n">
        <v>100</v>
      </c>
      <c r="E16" s="53" t="inlineStr">
        <is>
          <t>是</t>
        </is>
      </c>
      <c r="F16" s="67" t="inlineStr">
        <is>
          <t>厂长，我想了很久……我打算走了。我来这儿五年，提过十七个方案，做成了三个。不是钱的事，是我看不到这厂有变化。</t>
        </is>
      </c>
      <c r="G16" s="53" t="n">
        <v>0</v>
      </c>
      <c r="H16" s="53" t="n">
        <v>0</v>
      </c>
      <c r="I16" s="53" t="inlineStr"/>
      <c r="J16" s="53" t="n">
        <v>0</v>
      </c>
      <c r="K16" s="53" t="inlineStr"/>
      <c r="L16" s="67" t="inlineStr">
        <is>
          <t>是</t>
        </is>
      </c>
      <c r="M16" s="53" t="inlineStr">
        <is>
          <t>源自 green-factory-15-years 厂长路线；原版条件事件已保留条件文本，当前按年份与季节抽取。</t>
        </is>
      </c>
      <c r="N16" s="68" t="inlineStr">
        <is>
          <t>year_story</t>
        </is>
      </c>
      <c r="O16" s="69" t="n">
        <v>5</v>
      </c>
      <c r="P16" s="69" t="inlineStr">
        <is>
          <t>春</t>
        </is>
      </c>
      <c r="Q16" s="68" t="inlineStr">
        <is>
          <t>chen</t>
        </is>
      </c>
      <c r="R16" s="69" t="inlineStr">
        <is>
          <t>陈工</t>
        </is>
      </c>
      <c r="S16" s="69" t="inlineStr">
        <is>
          <t>[{"id": "1", "text": "把能源这一摊交给他，直接向我汇报", "hint": "他会留 · 老周那边不好交代", "result": "你把节能技改的立项权交给了他，还有一间小办公室。他愣了很久，说\"那我再试一年\"。老周知道后没说什么，只是在下一次生产会上当着所有人问：\"以后车间的事，是不是也归陈工管？\"你花了半年才把这件事捋顺。", "effects": {"morale": 2, "aff": {"chen": 6, "zhou": -3}, "flag": "chen_stay"}}, {"id": "2", "text": "加钱留人", "hint": "花 12 万/年 · 治标", "result": "他留下了，工资涨了。但那之后很少再提方案，交代什么做什么。有次你路过他办公室，看见他在看别的公司的招聘页面，很快就切走了。", "effects": {"money": -12, "aff": {"chen": 1}, "flag": "chen_paid"}}, {"id": "3", "text": "留不住就算了", "hint": "他走了", "result": "交接花了三天。走的那天他把五年的记录本全留下了，一共十一本，每页都是手写的表格和曲线。最上面一本扉页写着：\"总有一天有人会用得上。\"三个月后你听说，他去了宏远厂。厂里招了个技术员顶上，姓吴，刚毕业两年，人很勤快，只是那十一本记录他要看很久才看得懂。", "effects": {"smoke": 2, "morale": -5, "rival": 6, "flag": "chen_left"}}]</t>
        </is>
      </c>
      <c r="T16" s="69" t="inlineStr">
        <is>
          <t>你一直没找他谈。三周后他把辞呈放在了你桌上，这次没有再问你的意见。走的那天你在外地。</t>
        </is>
      </c>
      <c r="U16" s="68" t="inlineStr"/>
    </row>
    <row r="17" ht="42" customHeight="1">
      <c r="A17" s="52" t="inlineStr">
        <is>
          <t>GF15_Y05_SUMMER_012</t>
        </is>
      </c>
      <c r="B17" s="67" t="inlineStr">
        <is>
          <t>危废合同到期了</t>
        </is>
      </c>
      <c r="C17" s="53" t="inlineStr">
        <is>
          <t>第5年·夏季</t>
        </is>
      </c>
      <c r="D17" s="67" t="n">
        <v>100</v>
      </c>
      <c r="E17" s="53" t="inlineStr">
        <is>
          <t>是</t>
        </is>
      </c>
      <c r="F17" s="67" t="inlineStr">
        <is>
          <t>危废处置的合同到期了。老单位涨价三成，一年要二十二万。另有一家报价九万，手续说是"能办下来"。仓库里那些桶已经堆到走道上了。</t>
        </is>
      </c>
      <c r="G17" s="53" t="n">
        <v>0</v>
      </c>
      <c r="H17" s="53" t="n">
        <v>0</v>
      </c>
      <c r="I17" s="53" t="inlineStr"/>
      <c r="J17" s="53" t="n">
        <v>0</v>
      </c>
      <c r="K17" s="53" t="inlineStr"/>
      <c r="L17" s="67" t="inlineStr">
        <is>
          <t>是</t>
        </is>
      </c>
      <c r="M17" s="53" t="inlineStr">
        <is>
          <t>源自 green-factory-15-years 厂长路线；原版条件事件已保留条件文本，当前按年份与季节抽取。</t>
        </is>
      </c>
      <c r="N17" s="68" t="inlineStr">
        <is>
          <t>year_story</t>
        </is>
      </c>
      <c r="O17" s="69" t="n">
        <v>5</v>
      </c>
      <c r="P17" s="69" t="inlineStr">
        <is>
          <t>夏</t>
        </is>
      </c>
      <c r="Q17" s="68" t="inlineStr">
        <is>
          <t>zhao</t>
        </is>
      </c>
      <c r="R17" s="69" t="inlineStr">
        <is>
          <t>老赵</t>
        </is>
      </c>
      <c r="S17" s="69" t="inlineStr">
        <is>
          <t>[{"id": "1", "text": "跟老单位续，贵就贵", "hint": "花 22 万/年 · 安全", "result": "合同续了。每次转移都有联单、有称重、有对方回执。老赵每次签字都要叹口气。这笔钱在报表上一直很扎眼，直到很多年后你才知道它替你挡掉了什么。", "effects": {"money": -22, "aff": {"zhao": -1}, "flag": "haz_ok", "fac": {"waste": 1}}}, {"id": "2", "text": "换便宜那家，当天就来拉", "hint": "省 13 万 · 走道立刻通了", "result": "对方第二天就开车来拉，两趟拉完，堆了半年的桶一次清空，消防隐患也解决了。安全员特意来道了谢。你没问那些桶最后去了哪里，对方也没主动说。这件事就这么过去了——大部分时候，它确实就这么过去了。", "effects": {"money": -9, "morale": 4, "risk": 2, "flag": "haz_cheap"}}, {"id": "3", "text": "先减量：能不能少产生一点", "hint": "花 16 万 改工艺 · 慢，但是根上的办法", "result": "〔陈工和老周一起把清洗工序改了|老周带着新来的小吴，照着柜子里那些旧记录把清洗工序改了〕，溶剂用量降了四成，危废产生量跟着降。第二年处置费反而比原来还低。老周说：\"早知道能这么弄，何必年年跟人吵价钱。\"", "effects": {"money": -16, "smoke": -2, "aff": {"chen": 3, "zhou": 2}, "flag": "haz_reduce", "fac": {"waste": 2}}}]</t>
        </is>
      </c>
      <c r="T17" s="69" t="inlineStr">
        <is>
          <t>合同断了两个月，桶越堆越多，最后是采购自己找了家便宜的拉走。手续齐不齐，没人问过。</t>
        </is>
      </c>
      <c r="U17" s="68" t="inlineStr"/>
    </row>
    <row r="18" ht="42" customHeight="1">
      <c r="A18" s="52" t="inlineStr">
        <is>
          <t>GF15_Y05_AUTUMN_013</t>
        </is>
      </c>
      <c r="B18" s="67" t="inlineStr">
        <is>
          <t>海外客户要来验厂</t>
        </is>
      </c>
      <c r="C18" s="53" t="inlineStr">
        <is>
          <t>第5年·秋季</t>
        </is>
      </c>
      <c r="D18" s="67" t="n">
        <v>100</v>
      </c>
      <c r="E18" s="53" t="inlineStr">
        <is>
          <t>是</t>
        </is>
      </c>
      <c r="F18" s="67" t="inlineStr">
        <is>
          <t>海外客户要来验厂。清单提前发了：十二个月用电原始数据、危废联单、员工访谈。不是走过场，他们真的会问一线的班长。三天审核，车间得停一天配合。</t>
        </is>
      </c>
      <c r="G18" s="53" t="n">
        <v>0</v>
      </c>
      <c r="H18" s="53" t="n">
        <v>0</v>
      </c>
      <c r="I18" s="53" t="inlineStr"/>
      <c r="J18" s="53" t="n">
        <v>0</v>
      </c>
      <c r="K18" s="53" t="inlineStr"/>
      <c r="L18" s="67" t="inlineStr">
        <is>
          <t>是</t>
        </is>
      </c>
      <c r="M18" s="53" t="inlineStr">
        <is>
          <t>源自 green-factory-15-years 厂长路线；原版条件事件已保留条件文本，当前按年份与季节抽取。</t>
        </is>
      </c>
      <c r="N18" s="68" t="inlineStr">
        <is>
          <t>year_story</t>
        </is>
      </c>
      <c r="O18" s="69" t="n">
        <v>5</v>
      </c>
      <c r="P18" s="69" t="inlineStr">
        <is>
          <t>秋</t>
        </is>
      </c>
      <c r="Q18" s="68" t="inlineStr">
        <is>
          <t>lin</t>
        </is>
      </c>
      <c r="R18" s="69" t="inlineStr">
        <is>
          <t>林薇</t>
        </is>
      </c>
      <c r="S18" s="69" t="inlineStr">
        <is>
          <t>[{"id": "1", "text": "照单准备，该补的补，该停的停", "hint": "花 10 万 · 停一天产", "result": "审核组待了三天，真的抽了三车间的班长问：\"你们车间一个月用多少电，你在哪儿能看到？\"班长愣了两秒，转身指了指墙上的看板。审核员点点头，在本子上记了一笔。停产那天的产量，两周后加班补了回来。", "effects": {"money": -10, "orders": 8, "fame": 5, "smoke": -3, "group": 3, "flag": "audit_ready"}}, {"id": "2", "text": "临时抱佛脚，不停产", "hint": "能过就行", "result": "台账是连夜整理的，看板是审核前一天挂上去的。审核员问班长数据在哪看，班长指着看板说\"那儿\"，又补了一句\"上礼拜刚挂的\"。空气安静了两秒。结论是\"有条件通过，一年后复审\"。", "effects": {"fame": -3, "orders": 2, "flag": "audit_weak"}}, {"id": "3", "text": "请客户改期，我们没准备好", "hint": "诚实 · 机会可能只有一次", "result": "林薇打了那个电话，对方沉默几秒，说可以推到明年。她挂了电话跟你说：\"厂长，这是最后一次改期的机会。\"这一年他们没下单，但也没把你从名单上划掉。", "effects": {"orders": -6, "fame": 2, "flag": "audit_delay", "aff": {"lin": 1}}}]</t>
        </is>
      </c>
      <c r="T18" s="69" t="inlineStr">
        <is>
          <t>没有专门准备，按平常的样子接待。审核员在车间转了两小时，问了三个问题，班长答了一个。结论是暂不列入合格供应商。</t>
        </is>
      </c>
      <c r="U18" s="68" t="inlineStr"/>
    </row>
    <row r="19" ht="42" customHeight="1">
      <c r="A19" s="52" t="inlineStr">
        <is>
          <t>GF15_Y06_SPRING_014</t>
        </is>
      </c>
      <c r="B19" s="67" t="inlineStr">
        <is>
          <t>同行造假被通报，客户来查</t>
        </is>
      </c>
      <c r="C19" s="53" t="inlineStr">
        <is>
          <t>第6年·春季</t>
        </is>
      </c>
      <c r="D19" s="67" t="n">
        <v>100</v>
      </c>
      <c r="E19" s="53" t="inlineStr">
        <is>
          <t>是</t>
        </is>
      </c>
      <c r="F19" s="67" t="inlineStr">
        <is>
          <t>隔壁市那家厂被通报了，碳数据造假。整个行业的客户都在重新查供应商台账。咱们……经得起查吗？</t>
        </is>
      </c>
      <c r="G19" s="53" t="n">
        <v>0</v>
      </c>
      <c r="H19" s="53" t="n">
        <v>0</v>
      </c>
      <c r="I19" s="53" t="inlineStr"/>
      <c r="J19" s="53" t="n">
        <v>0</v>
      </c>
      <c r="K19" s="53" t="inlineStr"/>
      <c r="L19" s="67" t="inlineStr">
        <is>
          <t>是</t>
        </is>
      </c>
      <c r="M19" s="53" t="inlineStr">
        <is>
          <t>源自 green-factory-15-years 厂长路线；原版条件事件已保留条件文本，当前按年份与季节抽取。</t>
        </is>
      </c>
      <c r="N19" s="68" t="inlineStr">
        <is>
          <t>year_story</t>
        </is>
      </c>
      <c r="O19" s="69" t="n">
        <v>6</v>
      </c>
      <c r="P19" s="69" t="inlineStr">
        <is>
          <t>春</t>
        </is>
      </c>
      <c r="Q19" s="68" t="inlineStr">
        <is>
          <t>zhao</t>
        </is>
      </c>
      <c r="R19" s="69" t="inlineStr">
        <is>
          <t>老赵</t>
        </is>
      </c>
      <c r="S19" s="69" t="inlineStr">
        <is>
          <t>[{"id": "1", "text": "经得起，让他们查", "hint": "取决于这几年攒的底", "result": "核查邮件来了三封，你们逐月回了原始记录。第四封是采购总监亲自写的：\"贵司是这次核查里唯一没有二次索要材料的供应商。\"那个月来了两笔新询价，其中一笔原来是宏远的。", "effects": {"orders": 12, "fame": 8, "group": 4, "rival": -8, "aff": {"zhao": 2}}}, {"id": "2", "text": "先自查一遍，能补的补上", "hint": "花 8 万 · 熬几个通宵", "result": "财务和〔陈工|小吴〕那边熬了两周。补的过程中你才发现，有些数据不是不想给，是从来没人记录过。客户勉强过关，但备注栏写了一句\"建议加强原始数据管理\"。这两周之后，厂里第一次有了正式的台账制度。", "effects": {"money": -8, "fame": 1, "flag": "ledger"}}, {"id": "3", "text": "能拖就拖，等风头过去", "hint": "风头总会过去 · 但名单会记下来", "result": "你把回复一拖再拖。风头确实过去了，客户也没再追问。只是第二年的供应商分级里，你们从 A 类掉到了 B 类——通知邮件里没有解释原因。", "effects": {"orders": -8, "fame": -4, "group": -3}}]</t>
        </is>
      </c>
      <c r="T19" s="69" t="inlineStr">
        <is>
          <t>客户的核查邮件你让办公室回的，回得含糊。第二年的供应商分级里，你们从 A 类掉到了 B 类，通知邮件没有解释原因。</t>
        </is>
      </c>
      <c r="U19" s="68" t="inlineStr"/>
    </row>
    <row r="20" ht="42" customHeight="1">
      <c r="A20" s="52" t="inlineStr">
        <is>
          <t>GF15_Y06_AUTUMN_015</t>
        </is>
      </c>
      <c r="B20" s="67" t="inlineStr">
        <is>
          <t>高温限电，开五停二</t>
        </is>
      </c>
      <c r="C20" s="53" t="inlineStr">
        <is>
          <t>第6年·秋季</t>
        </is>
      </c>
      <c r="D20" s="67" t="n">
        <v>100</v>
      </c>
      <c r="E20" s="53" t="inlineStr">
        <is>
          <t>是</t>
        </is>
      </c>
      <c r="F20" s="67" t="inlineStr">
        <is>
          <t>今年热得邪门，电网下了有序用电通知，全市工业开五停二。厂长，咱们的单子交期都压着，怎么办？</t>
        </is>
      </c>
      <c r="G20" s="53" t="n">
        <v>0</v>
      </c>
      <c r="H20" s="53" t="n">
        <v>0</v>
      </c>
      <c r="I20" s="53" t="inlineStr"/>
      <c r="J20" s="53" t="n">
        <v>0</v>
      </c>
      <c r="K20" s="53" t="inlineStr"/>
      <c r="L20" s="67" t="inlineStr">
        <is>
          <t>是</t>
        </is>
      </c>
      <c r="M20" s="53" t="inlineStr">
        <is>
          <t>源自 green-factory-15-years 厂长路线；原版条件事件已保留条件文本，当前按年份与季节抽取。</t>
        </is>
      </c>
      <c r="N20" s="68" t="inlineStr">
        <is>
          <t>year_story</t>
        </is>
      </c>
      <c r="O20" s="69" t="n">
        <v>6</v>
      </c>
      <c r="P20" s="69" t="inlineStr">
        <is>
          <t>秋</t>
        </is>
      </c>
      <c r="Q20" s="68" t="inlineStr">
        <is>
          <t>zhou</t>
        </is>
      </c>
      <c r="R20" s="69" t="inlineStr">
        <is>
          <t>老周</t>
        </is>
      </c>
      <c r="S20" s="69" t="inlineStr">
        <is>
          <t>[{"id": "1", "text": "按规定停，跟客户解释", "hint": "损失产量 · 讲信用", "result": "你亲自给三个客户打电话，能延的延、能调的调。有一家很不高兴，另外两家表示理解。老周说：\"厂长，你这电话打得比赶工强。\"宏远厂那边偷开了几天，被通报了。", "effects": {"orders": -6, "morale": 3, "fame": 3, "rival": -6}}, {"id": "2", "text": "想办法多开几天", "hint": "有风险", "result": "托了些关系多开三天。单子交上去了，但月底通报里出现了你们的名字。罚款不多，那条通报却被客户的合规部门看见了，年度评价扣了分。", "effects": {"money": -8, "fame": -6, "orders": -3, "group": -3, "risk": 1, "flag": "fined"}}]</t>
        </is>
      </c>
      <c r="T20" s="69" t="inlineStr">
        <is>
          <t>你没有专门处理，车间按通知停了。交期全线延后，有客户在电话里发了很大的火，林薇挨的骂比你多。</t>
        </is>
      </c>
      <c r="U20" s="68" t="inlineStr"/>
    </row>
    <row r="21" ht="42" customHeight="1">
      <c r="A21" s="52" t="inlineStr">
        <is>
          <t>GF15_Y07_SPRING_016</t>
        </is>
      </c>
      <c r="B21" s="67" t="inlineStr">
        <is>
          <t>第 7 年春季事件</t>
        </is>
      </c>
      <c r="C21" s="53" t="inlineStr">
        <is>
          <t>第7年·春季</t>
        </is>
      </c>
      <c r="D21" s="67" t="n">
        <v>100</v>
      </c>
      <c r="E21" s="53" t="inlineStr">
        <is>
          <t>是</t>
        </is>
      </c>
      <c r="F21" s="67" t="inlineStr">
        <is>
          <t>中央生态环境保护督察组进驻本省，为期一个月。本市所有涉危废、涉废水的企业全面自查，随时可能被抽到。老周和〔陈工|小吴〕这两天都没怎么回家。</t>
        </is>
      </c>
      <c r="G21" s="53" t="n">
        <v>0</v>
      </c>
      <c r="H21" s="53" t="n">
        <v>0</v>
      </c>
      <c r="I21" s="53" t="inlineStr"/>
      <c r="J21" s="53" t="n">
        <v>0</v>
      </c>
      <c r="K21" s="53" t="inlineStr"/>
      <c r="L21" s="67" t="inlineStr">
        <is>
          <t>是</t>
        </is>
      </c>
      <c r="M21" s="53" t="inlineStr">
        <is>
          <t>源自 green-factory-15-years 厂长路线；原版条件事件已保留条件文本，当前按年份与季节抽取。</t>
        </is>
      </c>
      <c r="N21" s="68" t="inlineStr">
        <is>
          <t>year_story</t>
        </is>
      </c>
      <c r="O21" s="69" t="n">
        <v>7</v>
      </c>
      <c r="P21" s="69" t="inlineStr">
        <is>
          <t>春</t>
        </is>
      </c>
      <c r="Q21" s="68" t="inlineStr">
        <is>
          <t>narr</t>
        </is>
      </c>
      <c r="R21" s="69" t="inlineStr">
        <is>
          <t>旁白</t>
        </is>
      </c>
      <c r="S21" s="69" t="inlineStr">
        <is>
          <t>[{"id": "1", "text": "（等消息）", "hint": "", "result": "", "effects": {}}]</t>
        </is>
      </c>
      <c r="T21" s="69" t="inlineStr"/>
      <c r="U21" s="68" t="inlineStr"/>
    </row>
    <row r="22" ht="42" customHeight="1">
      <c r="A22" s="52" t="inlineStr">
        <is>
          <t>GF15_Y07_SUMMER_017</t>
        </is>
      </c>
      <c r="B22" s="67" t="inlineStr">
        <is>
          <t>马副总要砍掉一个项目</t>
        </is>
      </c>
      <c r="C22" s="53" t="inlineStr">
        <is>
          <t>第7年·夏季</t>
        </is>
      </c>
      <c r="D22" s="67" t="n">
        <v>100</v>
      </c>
      <c r="E22" s="53" t="inlineStr">
        <is>
          <t>是</t>
        </is>
      </c>
      <c r="F22" s="67" t="inlineStr">
        <is>
          <t>集团今年压降资本性支出，各厂一律砍一个在建项目。我知道你在推技改，也知道那些有用。但我在董事会上要有个能说出口的理由——你给我一个。</t>
        </is>
      </c>
      <c r="G22" s="53" t="n">
        <v>0</v>
      </c>
      <c r="H22" s="53" t="n">
        <v>0</v>
      </c>
      <c r="I22" s="53" t="inlineStr"/>
      <c r="J22" s="53" t="n">
        <v>0</v>
      </c>
      <c r="K22" s="53" t="inlineStr"/>
      <c r="L22" s="67" t="inlineStr">
        <is>
          <t>是</t>
        </is>
      </c>
      <c r="M22" s="53" t="inlineStr">
        <is>
          <t>源自 green-factory-15-years 厂长路线；原版条件事件已保留条件文本，当前按年份与季节抽取。</t>
        </is>
      </c>
      <c r="N22" s="68" t="inlineStr">
        <is>
          <t>year_story</t>
        </is>
      </c>
      <c r="O22" s="69" t="n">
        <v>7</v>
      </c>
      <c r="P22" s="69" t="inlineStr">
        <is>
          <t>夏</t>
        </is>
      </c>
      <c r="Q22" s="68" t="inlineStr">
        <is>
          <t>ma</t>
        </is>
      </c>
      <c r="R22" s="69" t="inlineStr">
        <is>
          <t>马副总</t>
        </is>
      </c>
      <c r="S22" s="69" t="inlineStr">
        <is>
          <t>[{"id": "1", "text": "砍技改，先保生产", "hint": "集团满意 · 转型停一年", "result": "技改停了，生产照常。年底集团报表上你的成本控制排进前三，马副总在会上点名表扬。只是〔陈工那本方案本子又厚了一层，一个字都没动过。他后来说了句：\"停一年，赶回来要三年。\"|陈工留下的那十一本记录，又在柜子里多待了一年。小吴翻过几次，说看不太懂里面的批注。〕", "effects": {"money": 22, "smoke": 5, "group": 10, "aff": {"chen": -4, "zhao": 2}}}, {"id": "2", "text": "把客户审核的要求摆出来，让他替我们说话", "hint": "需要拿得出东西", "result": "你把客户审核清单、认证要求和整改期限整理成两页纸发过去。马副总看完打来电话：\"这个我能拿去说。\"董事会上他替你挡了下来，条件是你要在半年内拿出成效。这不是人情，是弹药。", "effects": {"money": -10, "smoke": -4, "group": 4, "aff": {"ma": 3, "chen": 4}, "flag": "held"}}, {"id": "3", "text": "硬顶：技改不能停，理由我说不清但我知道是对的", "hint": "顶住 · 他也很难做", "result": "你在电话里争了二十分钟。马副总最后说：\"我信你，但我在会上没法这么说。\"技改保住了，代价是他替你担了责任。那年你的成本排名很难看，年中被叫去做了一次专项说明。半年后他来厂里，只问了一句：\"成效呢？\"", "effects": {"money": -16, "smoke": -5, "fame": 2, "group": -12, "aff": {"chen": 5, "ma": -3}, "flag": "held"}}, {"id": "4", "text": "把方案改小，两头都保一点", "hint": "各退一步", "result": "项目缩了一半规模报上去，勉强算是执行了集团要求。效果打了折扣，但至少没断。有时候把事情做成的办法不是赢，是让它别死。", "effects": {"money": 4, "smoke": -1, "group": 2}}]</t>
        </is>
      </c>
      <c r="T22" s="69" t="inlineStr">
        <is>
          <t>你没有回话。集团直接从名单上划掉了那个金额最大的技改项目，理由栏写着厂方未提出异议。</t>
        </is>
      </c>
      <c r="U22" s="68" t="inlineStr"/>
    </row>
    <row r="23" ht="42" customHeight="1">
      <c r="A23" s="52" t="inlineStr">
        <is>
          <t>GF15_Y07_AUTUMN_018</t>
        </is>
      </c>
      <c r="B23" s="67" t="inlineStr">
        <is>
          <t>年度报告的数据怎么报</t>
        </is>
      </c>
      <c r="C23" s="53" t="inlineStr">
        <is>
          <t>第7年·秋季</t>
        </is>
      </c>
      <c r="D23" s="67" t="n">
        <v>100</v>
      </c>
      <c r="E23" s="53" t="inlineStr">
        <is>
          <t>是</t>
        </is>
      </c>
      <c r="F23" s="67" t="inlineStr">
        <is>
          <t>年度报告要报集团了。咱们的减排数据不好看，宏远报的比我们漂亮一倍。有些口径其实是可以调一调的。集团只看排名。</t>
        </is>
      </c>
      <c r="G23" s="53" t="n">
        <v>0</v>
      </c>
      <c r="H23" s="53" t="n">
        <v>0</v>
      </c>
      <c r="I23" s="53" t="inlineStr"/>
      <c r="J23" s="53" t="n">
        <v>0</v>
      </c>
      <c r="K23" s="53" t="inlineStr"/>
      <c r="L23" s="67" t="inlineStr">
        <is>
          <t>是</t>
        </is>
      </c>
      <c r="M23" s="53" t="inlineStr">
        <is>
          <t>源自 green-factory-15-years 厂长路线；原版条件事件已保留条件文本，当前按年份与季节抽取。</t>
        </is>
      </c>
      <c r="N23" s="68" t="inlineStr">
        <is>
          <t>year_story</t>
        </is>
      </c>
      <c r="O23" s="69" t="n">
        <v>7</v>
      </c>
      <c r="P23" s="69" t="inlineStr">
        <is>
          <t>秋</t>
        </is>
      </c>
      <c r="Q23" s="68" t="inlineStr">
        <is>
          <t>zhao</t>
        </is>
      </c>
      <c r="R23" s="69" t="inlineStr">
        <is>
          <t>老赵</t>
        </is>
      </c>
      <c r="S23" s="69" t="inlineStr">
        <is>
          <t>[{"id": "1", "text": "不调，是多少写多少", "hint": "排名难看 · 集团会问", "result": "报告报上去，排名中游偏后。马副总在电话里问了句\"你们这个数据怎么比宏远差这么多\"，你回：\"因为我们是实测的。\"他沉默几秒说\"知道了\"。那年的评优名单里没有你们。", "effects": {"fame": 3, "group": -6, "aff": {"zhao": -1}, "flag": "honest_report"}}, {"id": "2", "text": "调一调，跟同行差不多就行", "hint": "好看 · 埋下一颗雷", "result": "口径调整之后数据一下子体面了。集团年会上你们进了绿色制造标杆名单，马副总很高兴，配套奖励二十万当场落实，年终评优也有了你们的名字。老赵把报告交上去，什么也没说。这件事就这么过去了——大部分时候，它确实就这么过去了。", "effects": {"money": 20, "fame": 6, "group": 10, "risk": 1, "flag": "faked"}}]</t>
        </is>
      </c>
      <c r="T23" s="69" t="inlineStr">
        <is>
          <t>报告是老赵按老口径交的，数字很难看。集团年会上点评了一句个别厂的绿色指标明显落后，虽然没点名。</t>
        </is>
      </c>
      <c r="U23" s="68" t="inlineStr"/>
    </row>
    <row r="24" ht="42" customHeight="1">
      <c r="A24" s="52" t="inlineStr">
        <is>
          <t>GF15_Y08_SPRING_019</t>
        </is>
      </c>
      <c r="B24" s="67" t="inlineStr">
        <is>
          <t>老周想退休了</t>
        </is>
      </c>
      <c r="C24" s="53" t="inlineStr">
        <is>
          <t>第8年·春季</t>
        </is>
      </c>
      <c r="D24" s="67" t="n">
        <v>100</v>
      </c>
      <c r="E24" s="53" t="inlineStr">
        <is>
          <t>是</t>
        </is>
      </c>
      <c r="F24" s="67" t="inlineStr">
        <is>
          <t>厂长，我腰上的老毛病犯了，医生让我别再下车间。我想着，是不是该退了。三车间那帮兄弟，我推荐小刘，他跟了我八年。</t>
        </is>
      </c>
      <c r="G24" s="53" t="n">
        <v>0</v>
      </c>
      <c r="H24" s="53" t="n">
        <v>0</v>
      </c>
      <c r="I24" s="53" t="inlineStr"/>
      <c r="J24" s="53" t="n">
        <v>0</v>
      </c>
      <c r="K24" s="53" t="inlineStr"/>
      <c r="L24" s="67" t="inlineStr">
        <is>
          <t>是</t>
        </is>
      </c>
      <c r="M24" s="53" t="inlineStr">
        <is>
          <t>源自 green-factory-15-years 厂长路线；原版条件事件已保留条件文本，当前按年份与季节抽取。</t>
        </is>
      </c>
      <c r="N24" s="68" t="inlineStr">
        <is>
          <t>year_story</t>
        </is>
      </c>
      <c r="O24" s="69" t="n">
        <v>8</v>
      </c>
      <c r="P24" s="69" t="inlineStr">
        <is>
          <t>春</t>
        </is>
      </c>
      <c r="Q24" s="68" t="inlineStr">
        <is>
          <t>zhou</t>
        </is>
      </c>
      <c r="R24" s="69" t="inlineStr">
        <is>
          <t>老周</t>
        </is>
      </c>
      <c r="S24" s="69" t="inlineStr">
        <is>
          <t>[{"id": "1", "text": "让老周带小刘一年再退", "hint": "传下去 · 这一年产能会打折", "result": "那一年老周坐在车间办公室里看着小刘跑，把二十六年攒的东西一样样交出去——哪台机器听声音就知道要出事，哪个供应商的料不能收。过渡期磕碰不少，废品率高了一阵。退休那天全车间来送他，他说了三句话就说不下去了。", "effects": {"money": -10, "orders": -4, "morale": 9, "aff": {"zhou": 4}, "flag": "zhou_pass"}}, {"id": "2", "text": "挽留他再干几年", "hint": "他会答应 · 但身体扛不住", "result": "他答应了，还是每天下车间。第二年冬天在楼梯上滑了一跤，住了三个月院。你去看他，他躺在病床上说的第一句话是\"三车间的电机换了没\"。", "effects": {"morale": -5, "aff": {"zhou": 2}}}, {"id": "3", "text": "办退休手续，从外面招个厂长助理", "hint": "快 · 但断了", "result": "新人履历很漂亮，三个月后走了。第二个也没待满半年。车间里的人开始说\"外面来的不懂我们\"。老周那些经验，最后一样都没留下。", "effects": {"morale": -10, "orders": -3, "aff": {"zhou": -3}, "flag": "zhou_quit"}}]</t>
        </is>
      </c>
      <c r="T24" s="69" t="inlineStr">
        <is>
          <t>你没有正面答复。他又硬撑了一年，冬天在楼梯上滑了一跤，住了三个月院。三车间那半年是散的。</t>
        </is>
      </c>
      <c r="U24" s="68" t="inlineStr"/>
    </row>
    <row r="25" ht="42" customHeight="1">
      <c r="A25" s="52" t="inlineStr">
        <is>
          <t>GF15_Y08_AUTUMN_020</t>
        </is>
      </c>
      <c r="B25" s="67" t="inlineStr">
        <is>
          <t>大客户要求独家供货</t>
        </is>
      </c>
      <c r="C25" s="53" t="inlineStr">
        <is>
          <t>第8年·秋季</t>
        </is>
      </c>
      <c r="D25" s="67" t="n">
        <v>100</v>
      </c>
      <c r="E25" s="53" t="inlineStr">
        <is>
          <t>是</t>
        </is>
      </c>
      <c r="F25" s="67" t="inlineStr">
        <is>
          <t>最大的那家客户提出做独家供应商，量翻倍，但不许再供他们的竞争对手。他们占我们四成，翻倍就是七成。宏远厂去年签了同样的协议。</t>
        </is>
      </c>
      <c r="G25" s="53" t="n">
        <v>0</v>
      </c>
      <c r="H25" s="53" t="n">
        <v>0</v>
      </c>
      <c r="I25" s="53" t="inlineStr"/>
      <c r="J25" s="53" t="n">
        <v>0</v>
      </c>
      <c r="K25" s="53" t="inlineStr"/>
      <c r="L25" s="67" t="inlineStr">
        <is>
          <t>是</t>
        </is>
      </c>
      <c r="M25" s="53" t="inlineStr">
        <is>
          <t>源自 green-factory-15-years 厂长路线；原版条件事件已保留条件文本，当前按年份与季节抽取。</t>
        </is>
      </c>
      <c r="N25" s="68" t="inlineStr">
        <is>
          <t>year_story</t>
        </is>
      </c>
      <c r="O25" s="69" t="n">
        <v>8</v>
      </c>
      <c r="P25" s="69" t="inlineStr">
        <is>
          <t>秋</t>
        </is>
      </c>
      <c r="Q25" s="68" t="inlineStr">
        <is>
          <t>lin</t>
        </is>
      </c>
      <c r="R25" s="69" t="inlineStr">
        <is>
          <t>林薇</t>
        </is>
      </c>
      <c r="S25" s="69" t="inlineStr">
        <is>
          <t>[{"id": "1", "text": "签，把产线填满", "hint": "订单大涨 · 命交给一家", "result": "产线立刻排满，报表好看得不像话，集团年中通报表扬了你们。庆功宴上林薇喝多了，说了句：\"从今天起，我们的经营计划要看别人的脸色定。\"第二天她说自己喝醉了，不算数。", "effects": {"orders": 22, "money": 20, "group": 6, "flag": "exclusive", "aff": {"lin": -1, "zhao": 2}}}, {"id": "2", "text": "不签，宁可份额小一点", "hint": "短期掉量 · 睡得着", "result": "那家客户把三成份额转给了同行，但你们也接住了他们竞争对手的单子。林薇说：\"客户名单厚一点，冬天就没那么冷。\"这话第二年冬天应验了——宏远的独家客户砍单，他们空了两条线。", "effects": {"orders": -6, "fame": 2, "rival": -8, "aff": {"lin": 3}}}, {"id": "3", "text": "谈条件：要三年承诺和预付款", "hint": "手上得有他们换不掉的东西", "result": "林薇跑了四趟，拿回来三年最低采购量承诺和一笔预付款。她把合同拍在桌上：\"他们答应了。因为我们现在有他们换不掉的东西。\"那些东西，是你这些年一件件攒下来的。", "effects": {"orders": 14, "money": 32, "group": 5, "aff": {"lin": 5}, "flag": "good_deal"}}]</t>
        </is>
      </c>
      <c r="T25" s="69" t="inlineStr">
        <is>
          <t>你迟迟没有表态。对方等了两个月，把份额分给了别人一半。既没有拿到独家的量，也没有守住多元的客户。</t>
        </is>
      </c>
      <c r="U25" s="68" t="inlineStr"/>
    </row>
    <row r="26" ht="42" customHeight="1">
      <c r="A26" s="52" t="inlineStr">
        <is>
          <t>GF15_Y09_SPRING_021</t>
        </is>
      </c>
      <c r="B26" s="67" t="inlineStr">
        <is>
          <t>排污许可证要换证</t>
        </is>
      </c>
      <c r="C26" s="53" t="inlineStr">
        <is>
          <t>第9年·春季</t>
        </is>
      </c>
      <c r="D26" s="67" t="n">
        <v>100</v>
      </c>
      <c r="E26" s="53" t="inlineStr">
        <is>
          <t>是</t>
        </is>
      </c>
      <c r="F26" s="67" t="inlineStr">
        <is>
          <t>排污许可证下个月到期，换证要核对这五年的排放数据。〔有几个月的在线监测是断的，报表上是补录的|我翻了半个月，有几个月的在线监测是断的。前任留下的批注我也看不太懂〕。审核员会看原始数据。</t>
        </is>
      </c>
      <c r="G26" s="53" t="n">
        <v>0</v>
      </c>
      <c r="H26" s="53" t="n">
        <v>0</v>
      </c>
      <c r="I26" s="53" t="inlineStr"/>
      <c r="J26" s="53" t="n">
        <v>0</v>
      </c>
      <c r="K26" s="53" t="inlineStr"/>
      <c r="L26" s="67" t="inlineStr">
        <is>
          <t>是</t>
        </is>
      </c>
      <c r="M26" s="53" t="inlineStr">
        <is>
          <t>源自 green-factory-15-years 厂长路线；原版条件事件已保留条件文本，当前按年份与季节抽取。</t>
        </is>
      </c>
      <c r="N26" s="68" t="inlineStr">
        <is>
          <t>year_story</t>
        </is>
      </c>
      <c r="O26" s="69" t="n">
        <v>9</v>
      </c>
      <c r="P26" s="69" t="inlineStr">
        <is>
          <t>春</t>
        </is>
      </c>
      <c r="Q26" s="68" t="inlineStr">
        <is>
          <t>chen</t>
        </is>
      </c>
      <c r="R26" s="69" t="inlineStr">
        <is>
          <t>陈工</t>
        </is>
      </c>
      <c r="S26" s="69" t="inlineStr">
        <is>
          <t>[{"id": "1", "text": "如实申报，把断档的说明清楚", "hint": "可能被降类 · 但不留把柄", "result": "环保局要求补做一次全项监测和一份说明，多花了十二万，换证晚了一个月。管理类别没降。经办人临走说：\"断档不可怕，可怕的是补得天衣无缝——那才是真要查的。\"〔|小吴把这句话记在了本子第一页。〕", "effects": {"money": -12, "orders": -2, "fame": 2, "flag": "permit_ok", "aff": {"chen": 2}}}, {"id": "2", "text": "把断档的数据补齐再交", "hint": "省 12 万 · 不耽误生产 · 数据是编的", "result": "补录的曲线做得很自然，换证一次通过。〔陈工|小吴〕把那份表格存进文件夹，命名是\"最终版-勿动\"。他没说什么，但那天下班走得比平时早。", "effects": {"money": 6, "orders": 3, "risk": 2, "flag": "permit_fake", "aff": {"chen": -4}}}]</t>
        </is>
      </c>
      <c r="T26" s="69" t="inlineStr">
        <is>
          <t>换证材料是办公室按老数据填的。环保局发现断档，要求补做全项监测并说明，罚了八万，管理类别降了一档。</t>
        </is>
      </c>
      <c r="U26" s="68" t="inlineStr"/>
    </row>
    <row r="27" ht="42" customHeight="1">
      <c r="A27" s="52" t="inlineStr">
        <is>
          <t>GF15_Y09_AUTUMN_022</t>
        </is>
      </c>
      <c r="B27" s="67" t="inlineStr">
        <is>
          <t>省媒体要来拍专题</t>
        </is>
      </c>
      <c r="C27" s="53" t="inlineStr">
        <is>
          <t>第9年·秋季</t>
        </is>
      </c>
      <c r="D27" s="67" t="n">
        <v>100</v>
      </c>
      <c r="E27" s="53" t="inlineStr">
        <is>
          <t>是</t>
        </is>
      </c>
      <c r="F27" s="67" t="inlineStr">
        <is>
          <t>省里的媒体要做绿色制造专题，集团报了两家，你们和宏远。他们只会选一家去拍。你们准备怎么讲这个故事？</t>
        </is>
      </c>
      <c r="G27" s="53" t="n">
        <v>0</v>
      </c>
      <c r="H27" s="53" t="n">
        <v>0</v>
      </c>
      <c r="I27" s="53" t="inlineStr"/>
      <c r="J27" s="53" t="n">
        <v>0</v>
      </c>
      <c r="K27" s="53" t="inlineStr"/>
      <c r="L27" s="67" t="inlineStr">
        <is>
          <t>是</t>
        </is>
      </c>
      <c r="M27" s="53" t="inlineStr">
        <is>
          <t>源自 green-factory-15-years 厂长路线；原版条件事件已保留条件文本，当前按年份与季节抽取。</t>
        </is>
      </c>
      <c r="N27" s="68" t="inlineStr">
        <is>
          <t>year_story</t>
        </is>
      </c>
      <c r="O27" s="69" t="n">
        <v>9</v>
      </c>
      <c r="P27" s="69" t="inlineStr">
        <is>
          <t>秋</t>
        </is>
      </c>
      <c r="Q27" s="68" t="inlineStr">
        <is>
          <t>ma</t>
        </is>
      </c>
      <c r="R27" s="69" t="inlineStr">
        <is>
          <t>马副总</t>
        </is>
      </c>
      <c r="S27" s="69" t="inlineStr">
        <is>
          <t>[{"id": "1", "text": "让他们随便拍，车间也可以进", "hint": "敞开 · 万一拍到不该拍的", "result": "记者在厂里待了一天，什么都拍了，包括还没整改完的那个角落。最后那张照片是〔#zhou〕站在光伏板下面，安全帽拿在手里。稿子标题叫《一个车间主任的十年》。〔#zhou〕把报纸塑封了挂在家里。宏远那期没播。", "effects": {"fame": 12, "morale": 6, "orders": 6, "group": 6, "rival": -6}}, {"id": "2", "text": "安排好路线，只看做得好的地方", "hint": "稳妥", "result": "稿子发出来了，四平八稳，像所有那类稿子一样。厂里没人转发。你后来想，如果当时让他们随便走走，会不会不一样。", "effects": {"fame": 3, "group": 2}}, {"id": "3", "text": "让给宏远，我们没什么好讲的", "hint": "集团会记住这句话", "result": "马副总在电话里停顿很久，说了句\"好，我知道了\"。那期专题拍了宏远，他们厂长在镜头前讲了七分钟。年底集团的资源分配会上，你的名字排在后面。", "effects": {"fame": -3, "group": -8, "rival": 8, "aff": {"ma": -3}}}]</t>
        </is>
      </c>
      <c r="T27" s="69" t="inlineStr">
        <is>
          <t>你让办公室对接，走了个流程。那期专题最后拍的是宏远，他们厂长在镜头前讲了七分钟。</t>
        </is>
      </c>
      <c r="U27" s="68" t="inlineStr"/>
    </row>
    <row r="28" ht="42" customHeight="1">
      <c r="A28" s="52" t="inlineStr">
        <is>
          <t>GF15_Y10_SPRING_023</t>
        </is>
      </c>
      <c r="B28" s="67" t="inlineStr">
        <is>
          <t>邻居投诉噪声和异味</t>
        </is>
      </c>
      <c r="C28" s="53" t="inlineStr">
        <is>
          <t>第10年·春季</t>
        </is>
      </c>
      <c r="D28" s="67" t="n">
        <v>100</v>
      </c>
      <c r="E28" s="53" t="inlineStr">
        <is>
          <t>是</t>
        </is>
      </c>
      <c r="F28" s="67" t="inlineStr">
        <is>
          <t>厂东墙外新建了一片住宅，去年交房。这个月环保投诉平台上，关于夜间噪声和异味的举报来了十一条。街道办打了电话，语气还算客气。</t>
        </is>
      </c>
      <c r="G28" s="53" t="n">
        <v>0</v>
      </c>
      <c r="H28" s="53" t="n">
        <v>0</v>
      </c>
      <c r="I28" s="53" t="inlineStr"/>
      <c r="J28" s="53" t="n">
        <v>0</v>
      </c>
      <c r="K28" s="53" t="inlineStr"/>
      <c r="L28" s="67" t="inlineStr">
        <is>
          <t>是</t>
        </is>
      </c>
      <c r="M28" s="53" t="inlineStr">
        <is>
          <t>源自 green-factory-15-years 厂长路线；原版条件事件已保留条件文本，当前按年份与季节抽取。</t>
        </is>
      </c>
      <c r="N28" s="68" t="inlineStr">
        <is>
          <t>year_story</t>
        </is>
      </c>
      <c r="O28" s="69" t="n">
        <v>10</v>
      </c>
      <c r="P28" s="69" t="inlineStr">
        <is>
          <t>春</t>
        </is>
      </c>
      <c r="Q28" s="68" t="inlineStr">
        <is>
          <t>narr</t>
        </is>
      </c>
      <c r="R28" s="69" t="inlineStr">
        <is>
          <t>旁白</t>
        </is>
      </c>
      <c r="S28" s="69" t="inlineStr">
        <is>
          <t>[{"id": "1", "text": "停夜班，白天生产", "hint": "产能掉两成 · 投诉会停", "result": "夜班停了，投诉也停了。但订单交期开始紧张，有两家客户转了单。老赵算给你看：一年少赚八十万。你说：\"这钱是从人家窗户底下抢的。\"他没接话。", "effects": {"orders": -10, "money": -20, "fame": 4, "morale": 2, "flag": "noise_fixed"}}, {"id": "2", "text": "花钱做隔声和除臭", "hint": "花 46 万 · 根上解决", "result": "隔声屏和活性炭装置装了三个月。街道办后来把你们厂当成正面案例，在社区会上讲过一次。有位老太太送了面锦旗，上面写着\"还我安宁\"——〔#zhou〕把它挂在了传达室。", "effects": {"money": -46, "fame": 6, "morale": 3, "smoke": -2, "flag": "noise_fixed"}}, {"id": "3", "text": "先跟街道解释，观察一段", "hint": "省 46 万 · 夜班照开 · 投诉不会自己消失", "result": "你去街道办说明情况，态度诚恳，又送了两台净化器给居委会。投诉少了一阵，夜班一天没停，那笔五十五万留在账上过了个宽裕的冬天。入夏投诉又多起来，有人开始往生态环境部门举报，还拍了视频。这件事没有结束，只是暂时安静。", "effects": {"money": 10, "risk": 2, "fame": -3, "flag": "noise_risk"}}]</t>
        </is>
      </c>
      <c r="T28" s="69" t="inlineStr">
        <is>
          <t>投诉一直没处理。入夏之后有人往生态环境部门举报，还拍了视频。街道办第三次打电话来时，语气已经不客气了。</t>
        </is>
      </c>
      <c r="U28" s="68" t="inlineStr"/>
    </row>
    <row r="29" ht="42" customHeight="1">
      <c r="A29" s="52" t="inlineStr">
        <is>
          <t>GF15_Y10_AUTUMN_024</t>
        </is>
      </c>
      <c r="B29" s="67" t="inlineStr">
        <is>
          <t>一笔要加班两个月的大单</t>
        </is>
      </c>
      <c r="C29" s="53" t="inlineStr">
        <is>
          <t>第10年·秋季</t>
        </is>
      </c>
      <c r="D29" s="67" t="n">
        <v>100</v>
      </c>
      <c r="E29" s="53" t="inlineStr">
        <is>
          <t>是</t>
        </is>
      </c>
      <c r="F29" s="67" t="inlineStr">
        <is>
          <t>有笔大单，交期只有两个月。要接，车间得连着加两个月的班。厂长，我先说清楚：这单能让今年的数字很好看，集团那边也交代得过去。</t>
        </is>
      </c>
      <c r="G29" s="53" t="n">
        <v>0</v>
      </c>
      <c r="H29" s="53" t="n">
        <v>0</v>
      </c>
      <c r="I29" s="53" t="inlineStr"/>
      <c r="J29" s="53" t="n">
        <v>0</v>
      </c>
      <c r="K29" s="53" t="inlineStr"/>
      <c r="L29" s="67" t="inlineStr">
        <is>
          <t>是</t>
        </is>
      </c>
      <c r="M29" s="53" t="inlineStr">
        <is>
          <t>源自 green-factory-15-years 厂长路线；原版条件事件已保留条件文本，当前按年份与季节抽取。</t>
        </is>
      </c>
      <c r="N29" s="68" t="inlineStr">
        <is>
          <t>year_story</t>
        </is>
      </c>
      <c r="O29" s="69" t="n">
        <v>10</v>
      </c>
      <c r="P29" s="69" t="inlineStr">
        <is>
          <t>秋</t>
        </is>
      </c>
      <c r="Q29" s="68" t="inlineStr">
        <is>
          <t>lin</t>
        </is>
      </c>
      <c r="R29" s="69" t="inlineStr">
        <is>
          <t>林薇</t>
        </is>
      </c>
      <c r="S29" s="69" t="inlineStr">
        <is>
          <t>[{"id": "1", "text": "接，全厂动员", "hint": "钱和面子 · 人会很累", "result": "两个月，车间的灯几乎没灭过。单子交了，年终奖发得比往年厚，集团通报点了名。但年后走了七个人，其中三个是干了十年以上的老师傅。〔#zhou〕说：\"钱能补，人补不回来。\"", "effects": {"money": 50, "orders": 8, "morale": -15, "smoke": 5, "group": 8}}, {"id": "2", "text": "接一半，另一半推给同行", "hint": "少赚 · 人不垮", "result": "林薇把一半的量介绍给了另一家小厂，还拿了协调费。客户没有不满，反而觉得你们实在。年后没有人辞职。", "effects": {"money": 26, "orders": 4, "morale": 2, "aff": {"lin": 2}}}, {"id": "3", "text": "不接，产能不够就是不够", "hint": "放弃", "result": "这单被宏远接走。老赵在会上算了笔账，说够全厂两个月的利润。你说：\"算不进去的是那七个人。\"他没再说话。", "effects": {"orders": -4, "morale": 7, "rival": 6, "group": -4}}]</t>
        </is>
      </c>
      <c r="T29" s="69" t="inlineStr">
        <is>
          <t>你没有下决心，林薇按常规产能报了个交期，客户嫌慢，转给了宏远。车间那两个月很轻松。</t>
        </is>
      </c>
      <c r="U29" s="68" t="inlineStr"/>
    </row>
    <row r="30" ht="42" customHeight="1">
      <c r="A30" s="52" t="inlineStr">
        <is>
          <t>GF15_Y11_SPRING_025</t>
        </is>
      </c>
      <c r="B30" s="67" t="inlineStr">
        <is>
          <t>马副总一个人来了</t>
        </is>
      </c>
      <c r="C30" s="53" t="inlineStr">
        <is>
          <t>第11年·春季</t>
        </is>
      </c>
      <c r="D30" s="67" t="n">
        <v>100</v>
      </c>
      <c r="E30" s="53" t="inlineStr">
        <is>
          <t>是</t>
        </is>
      </c>
      <c r="F30" s="67" t="inlineStr">
        <is>
          <t>（他这次是一个人来的，没带秘书，在车间外面站了很久）其实我知道你这些年做的是什么。但集团考核只有三个指标，没有一个跟这些有关。我快到年纪了，你有什么想说的，趁现在。</t>
        </is>
      </c>
      <c r="G30" s="53" t="n">
        <v>0</v>
      </c>
      <c r="H30" s="53" t="n">
        <v>0</v>
      </c>
      <c r="I30" s="53" t="inlineStr"/>
      <c r="J30" s="53" t="n">
        <v>0</v>
      </c>
      <c r="K30" s="53" t="inlineStr"/>
      <c r="L30" s="67" t="inlineStr">
        <is>
          <t>是</t>
        </is>
      </c>
      <c r="M30" s="53" t="inlineStr">
        <is>
          <t>源自 green-factory-15-years 厂长路线；原版条件事件已保留条件文本，当前按年份与季节抽取。</t>
        </is>
      </c>
      <c r="N30" s="68" t="inlineStr">
        <is>
          <t>year_story</t>
        </is>
      </c>
      <c r="O30" s="69" t="n">
        <v>11</v>
      </c>
      <c r="P30" s="69" t="inlineStr">
        <is>
          <t>春</t>
        </is>
      </c>
      <c r="Q30" s="68" t="inlineStr">
        <is>
          <t>ma</t>
        </is>
      </c>
      <c r="R30" s="69" t="inlineStr">
        <is>
          <t>马副总</t>
        </is>
      </c>
      <c r="S30" s="69" t="inlineStr">
        <is>
          <t>[{"id": "1", "text": "请他把绿色投入单列一项考核", "hint": "他要为此得罪人", "result": "他听完只说\"我试试\"。半年后集团确实加了一项\"绿色制造\"考核，权重不高，但从此这些投入不再是\"额外的支出\"。代价是他在那次会上得罪了两位同级。他没跟你提过这件事，是老赵后来听说的。", "effects": {"group": 12, "fame": 4, "aff": {"ma": 5}, "flag": "kpi"}}, {"id": "2", "text": "请他多批点预算", "hint": "实在 · 但只解一时", "result": "他批了一百二十万专项。钱很快就花完了，用在了该用的地方。但第二年他退了，新来的人不认这笔账，问的第一个问题是\"去年那笔钱产出是多少\"。", "effects": {"money": 58, "group": 2, "aff": {"ma": 2}}}, {"id": "3", "text": "什么都没说，陪他在车间外站着", "hint": "有些话说了也没用", "result": "你们抽了两根烟。他临走说：\"我在这个位子上二十年，见过太多厂长跟我讲道理。你算讲得少的。\"上车前他补了一句：\"厂子是你的，我是过路的。\"", "effects": {"aff": {"ma": 3}, "morale": 1}}]</t>
        </is>
      </c>
      <c r="T30" s="69" t="inlineStr">
        <is>
          <t>你陪他在车间外站了会儿，聊的都是场面话。他上车前看了你一眼，什么也没说。半年后他退了。</t>
        </is>
      </c>
      <c r="U30" s="68" t="inlineStr"/>
    </row>
    <row r="31" ht="42" customHeight="1">
      <c r="A31" s="52" t="inlineStr">
        <is>
          <t>GF15_Y11_AUTUMN_026</t>
        </is>
      </c>
      <c r="B31" s="67" t="inlineStr">
        <is>
          <t>本行业纳入了碳市场</t>
        </is>
      </c>
      <c r="C31" s="53" t="inlineStr">
        <is>
          <t>第11年·秋季</t>
        </is>
      </c>
      <c r="D31" s="67" t="n">
        <v>100</v>
      </c>
      <c r="E31" s="53" t="inlineStr">
        <is>
          <t>是</t>
        </is>
      </c>
      <c r="F31" s="67" t="inlineStr">
        <is>
          <t>本行业被纳入全国碳市场了。超出基准的排放要买配额清缴，我算了一下，按现在的排放水平，一年要多掏一笔不小的钱。</t>
        </is>
      </c>
      <c r="G31" s="53" t="n">
        <v>0</v>
      </c>
      <c r="H31" s="53" t="n">
        <v>0</v>
      </c>
      <c r="I31" s="53" t="inlineStr"/>
      <c r="J31" s="53" t="n">
        <v>0</v>
      </c>
      <c r="K31" s="53" t="inlineStr"/>
      <c r="L31" s="67" t="inlineStr">
        <is>
          <t>是</t>
        </is>
      </c>
      <c r="M31" s="53" t="inlineStr">
        <is>
          <t>源自 green-factory-15-years 厂长路线；原版条件事件已保留条件文本，当前按年份与季节抽取。</t>
        </is>
      </c>
      <c r="N31" s="68" t="inlineStr">
        <is>
          <t>year_story</t>
        </is>
      </c>
      <c r="O31" s="69" t="n">
        <v>11</v>
      </c>
      <c r="P31" s="69" t="inlineStr">
        <is>
          <t>秋</t>
        </is>
      </c>
      <c r="Q31" s="68" t="inlineStr">
        <is>
          <t>zhao</t>
        </is>
      </c>
      <c r="R31" s="69" t="inlineStr">
        <is>
          <t>老赵</t>
        </is>
      </c>
      <c r="S31" s="69" t="inlineStr">
        <is>
          <t>[{"id": "1", "text": "买配额，先把合规问题解决", "hint": "每年都要掏", "result": "配额买了，合规了。老赵每年做预算的时候都会单列这一行，数字一年比一年大。他说：\"这笔钱是白花的。\"你说：\"不是白花，是替过去的十年还账。\"", "effects": {"money": -30, "flag": "quota_buy"}}, {"id": "2", "text": "借这个由头，把该做的技改一次做完", "hint": "花 70 万 · 一次性解决", "result": "你把碳市场当成了说服所有人的理由——包括集团、老赵、还有那些觉得节能是折腾的人。锅炉、空压、电机一起改完，第二年不但不用买配额，还富余出一点可以卖。老赵第一次主动说了句：\"这钱花得值。\"", "effects": {"money": -70, "smoke": -14, "group": 4, "fame": 4, "aff": {"zhao": 3, "chen": 4}, "flag": "quota_cut"}}, {"id": "3", "text": "先按最低标准应付，观望一年", "hint": "观望 · 明年配额只会更贵", "result": "你选择观望。第二年配额价格涨了四成，你多掏了将近一倍的钱。这类事情的规律是：越晚动手越贵，而每一年当时看都\"再等等也行\"。", "effects": {"money": -20, "smoke": 2, "flag": "quota_wait"}}]</t>
        </is>
      </c>
      <c r="T31" s="69" t="inlineStr">
        <is>
          <t>配额是财务按最低标准买的，多花了不少钱。这件事从此每年都要花一笔，而你始终没想明白它到底能不能省。</t>
        </is>
      </c>
      <c r="U31" s="68" t="inlineStr"/>
    </row>
    <row r="32" ht="42" customHeight="1">
      <c r="A32" s="52" t="inlineStr">
        <is>
          <t>GF15_Y12_SPRING_027</t>
        </is>
      </c>
      <c r="B32" s="67" t="inlineStr">
        <is>
          <t>新客户要产品碳足迹报告</t>
        </is>
      </c>
      <c r="C32" s="53" t="inlineStr">
        <is>
          <t>第12年·春季</t>
        </is>
      </c>
      <c r="D32" s="67" t="n">
        <v>100</v>
      </c>
      <c r="E32" s="53" t="inlineStr">
        <is>
          <t>是</t>
        </is>
      </c>
      <c r="F32" s="67" t="inlineStr">
        <is>
          <t>一家做储能的新客户来问，说他们的供应商必须提供产品碳足迹报告。这个客户所在的行业每年翻一倍。但报告要做，得先有这些年的完整数据。</t>
        </is>
      </c>
      <c r="G32" s="53" t="n">
        <v>0</v>
      </c>
      <c r="H32" s="53" t="n">
        <v>0</v>
      </c>
      <c r="I32" s="53" t="inlineStr"/>
      <c r="J32" s="53" t="n">
        <v>0</v>
      </c>
      <c r="K32" s="53" t="inlineStr"/>
      <c r="L32" s="67" t="inlineStr">
        <is>
          <t>是</t>
        </is>
      </c>
      <c r="M32" s="53" t="inlineStr">
        <is>
          <t>源自 green-factory-15-years 厂长路线；原版条件事件已保留条件文本，当前按年份与季节抽取。</t>
        </is>
      </c>
      <c r="N32" s="68" t="inlineStr">
        <is>
          <t>year_story</t>
        </is>
      </c>
      <c r="O32" s="69" t="n">
        <v>12</v>
      </c>
      <c r="P32" s="69" t="inlineStr">
        <is>
          <t>春</t>
        </is>
      </c>
      <c r="Q32" s="68" t="inlineStr">
        <is>
          <t>lin</t>
        </is>
      </c>
      <c r="R32" s="69" t="inlineStr">
        <is>
          <t>林薇</t>
        </is>
      </c>
      <c r="S32" s="69" t="inlineStr">
        <is>
          <t>[{"id": "1", "text": "做，把这些年的数据整理出来", "hint": "花 25 万 · 要看你有没有底子", "result": "〔陈工|小吴照着陈工留下的那十一本记录，〕把这些年的表、单据、监测记录整理了两个月，做出了第一份产品碳足迹报告。客户看完只说了一句：\"你们这个是真做出来的，不是买的。\"当年就下了第一批单，第二年翻了三倍。", "effects": {"money": -25, "orders": 18, "fame": 8, "group": 4, "aff": {"chen": 4, "lin": 4}, "flag": "cfp"}}, {"id": "2", "text": "找家机构快速出一份", "hint": "花 15 万 · 数据是估的", "result": "报告出得很快，客户看完提了十七个问题，其中十一个你们答不上来。这单最后没成。林薇说：\"他们不是不信我们，是我们真的说不清。\"", "effects": {"money": -15, "orders": 2, "aff": {"lin": -2}}}, {"id": "3", "text": "这个行业太新，先不碰", "hint": "放弃一条赛道", "result": "你婉拒了。三年后这个客户成了行业里的头部，宏远厂是他们的一级供应商。林薇偶尔会提起这件事，语气很平静，但每次都会提。", "effects": {"orders": -4, "rival": 10}}]</t>
        </is>
      </c>
      <c r="T32" s="69" t="inlineStr">
        <is>
          <t>你让办公室回了封客气的邮件，说正在筹备中。对方没有再来。三年后这家客户成了行业头部，一级供应商里有宏远。</t>
        </is>
      </c>
      <c r="U32" s="68" t="inlineStr"/>
    </row>
    <row r="33" ht="42" customHeight="1">
      <c r="A33" s="52" t="inlineStr">
        <is>
          <t>GF15_Y12_AUTUMN_028</t>
        </is>
      </c>
      <c r="B33" s="67" t="inlineStr">
        <is>
          <t>VOCs 设施平时没开</t>
        </is>
      </c>
      <c r="C33" s="53" t="inlineStr">
        <is>
          <t>第12年·秋季</t>
        </is>
      </c>
      <c r="D33" s="67" t="n">
        <v>100</v>
      </c>
      <c r="E33" s="53" t="inlineStr">
        <is>
          <t>是</t>
        </is>
      </c>
      <c r="F33" s="67" t="inlineStr">
        <is>
          <t>〔zhou:厂长，有件事我憋了两年，今天跟您说。|老周退了以后没人再提这事，今天是我壮着胆子说的。〕VOCs 那套治理设施，这两年基本没开过，一开电费一个月多两万。老工人都知道，就是没人说。</t>
        </is>
      </c>
      <c r="G33" s="53" t="n">
        <v>0</v>
      </c>
      <c r="H33" s="53" t="n">
        <v>0</v>
      </c>
      <c r="I33" s="53" t="inlineStr"/>
      <c r="J33" s="53" t="n">
        <v>0</v>
      </c>
      <c r="K33" s="53" t="inlineStr"/>
      <c r="L33" s="67" t="inlineStr">
        <is>
          <t>是</t>
        </is>
      </c>
      <c r="M33" s="53" t="inlineStr">
        <is>
          <t>源自 green-factory-15-years 厂长路线；原版条件事件已保留条件文本，当前按年份与季节抽取。</t>
        </is>
      </c>
      <c r="N33" s="68" t="inlineStr">
        <is>
          <t>year_story</t>
        </is>
      </c>
      <c r="O33" s="69" t="n">
        <v>12</v>
      </c>
      <c r="P33" s="69" t="inlineStr">
        <is>
          <t>秋</t>
        </is>
      </c>
      <c r="Q33" s="68" t="inlineStr">
        <is>
          <t>zhou</t>
        </is>
      </c>
      <c r="R33" s="69" t="inlineStr">
        <is>
          <t>老周</t>
        </is>
      </c>
      <c r="S33" s="69" t="inlineStr">
        <is>
          <t>[{"id": "1", "text": "从今天起必须开，电费我认", "hint": "20 万/年 · 没人会为此表扬你", "result": "设施开了，电费涨了，报表难看了。没有客户会因为这个多给你一分钱，没有媒体会来报道。三年后一次夜查，执法人员调了运行记录，看完什么也没说就走了——那一刻你才知道这笔钱买的是什么。", "effects": {"money": -20, "smoke": -2, "fame": 2, "flag": "voc_on", "aff": {"zhou": 3}, "fac": {"air": 1}}}, {"id": "2", "text": "检查的时候开，平时关", "hint": "一年省 20 万 · 这行大半都这么干", "result": "你没有明说，只是让车间\"灵活掌握\"。省下的电费，年底给全厂发了笔奖金，人人有份。厂里所有人都懂那句\"灵活掌握\"是什么意思，也没有人觉得有什么不对——这件事从此成了心照不宣的一部分，直到有一天它不再是。", "effects": {"money": 30, "morale": 5, "risk": 3, "flag": "voc_off"}}, {"id": "3", "text": "改工艺，从源头少产生 VOCs", "hint": "花 58 万 · 贵，但一劳永逸", "result": "水性替代做了半年，产生量降了六成，治理设施常开也不心疼了。这笔钱花得比谁都多，但从此这项再没让你半夜惊醒过。〔陈工说：\"厂长，这是我这些年做过最有价值的项目。\"|小吴说：\"厂长，这个方案陈工的本子里写过，第七本第三页。\"〕", "effects": {"money": -58, "smoke": -4, "fame": 4, "aff": {"chen": 5, "zhou": 2}, "flag": "voc_clean", "fac": {"air": 2}}}]</t>
        </is>
      </c>
      <c r="T33" s="69" t="inlineStr">
        <is>
          <t>这句话你听过就算了。设施照旧是检查才开，厂里所有人都懂那句灵活掌握是什么意思。</t>
        </is>
      </c>
      <c r="U33" s="68" t="inlineStr"/>
    </row>
    <row r="34" ht="42" customHeight="1">
      <c r="A34" s="52" t="inlineStr">
        <is>
          <t>GF15_Y13_SPRING_029</t>
        </is>
      </c>
      <c r="B34" s="67" t="inlineStr">
        <is>
          <t>同行的产线挂出来卖</t>
        </is>
      </c>
      <c r="C34" s="53" t="inlineStr">
        <is>
          <t>第13年·春季</t>
        </is>
      </c>
      <c r="D34" s="67" t="n">
        <v>100</v>
      </c>
      <c r="E34" s="53" t="inlineStr">
        <is>
          <t>是</t>
        </is>
      </c>
      <c r="F34" s="67" t="inlineStr">
        <is>
          <t>行业开始洗牌。有同行撑不住了，一条产线挂出来卖，价格是新线的四成。但那批设备能耗高，环保配套也不全。</t>
        </is>
      </c>
      <c r="G34" s="53" t="n">
        <v>0</v>
      </c>
      <c r="H34" s="53" t="n">
        <v>0</v>
      </c>
      <c r="I34" s="53" t="inlineStr"/>
      <c r="J34" s="53" t="n">
        <v>0</v>
      </c>
      <c r="K34" s="53" t="inlineStr"/>
      <c r="L34" s="67" t="inlineStr">
        <is>
          <t>是</t>
        </is>
      </c>
      <c r="M34" s="53" t="inlineStr">
        <is>
          <t>源自 green-factory-15-years 厂长路线；原版条件事件已保留条件文本，当前按年份与季节抽取。</t>
        </is>
      </c>
      <c r="N34" s="68" t="inlineStr">
        <is>
          <t>year_story</t>
        </is>
      </c>
      <c r="O34" s="69" t="n">
        <v>13</v>
      </c>
      <c r="P34" s="69" t="inlineStr">
        <is>
          <t>春</t>
        </is>
      </c>
      <c r="Q34" s="68" t="inlineStr">
        <is>
          <t>narr</t>
        </is>
      </c>
      <c r="R34" s="69" t="inlineStr">
        <is>
          <t>旁白</t>
        </is>
      </c>
      <c r="S34" s="69" t="inlineStr">
        <is>
          <t>[{"id": "1", "text": "买下来，先把规模做起来", "hint": "花 82 万 · 便宜的产能从来不白捡", "result": "产能一下多了四成，订单接得下了。但那批设备的电耗和排放拖累了整体指标，第二年客户审核时被专门问到。你花了两年才把它改造过来——加起来比买新的还贵。", "effects": {"money": -82, "orders": 16, "smoke": 10, "group": 4}}, {"id": "2", "text": "不买，把钱花在自己厂里", "hint": "错过规模 · 但不留包袱", "result": "那条线被宏远买走了。三年后他们因为这批设备的能耗问题丢掉了一个大客户。老赵后来说：\"当年不买，是这十几年最省钱的一次决定。\"", "effects": {"money": 0, "smoke": -1, "rival": 6, "aff": {"zhao": 2}}}, {"id": "3", "text": "只买厂房和地，设备不要", "hint": "花 70 万 · 要慢一点", "result": "你只接了厂房。空着的车间等了一年半才装上新线，期间订单接不下来，眼看着机会溜走。但装进去的每一台设备都是你自己挑的。", "effects": {"money": -55, "orders": 6, "smoke": 2, "flag": "own_line"}}]</t>
        </is>
      </c>
      <c r="T34" s="69" t="inlineStr">
        <is>
          <t>你没顾上，那条线被宏远买走了。他们后来因为那批设备的能耗吃了亏，但当时谁也说不准。</t>
        </is>
      </c>
      <c r="U34" s="68" t="inlineStr"/>
    </row>
    <row r="35" ht="42" customHeight="1">
      <c r="A35" s="52" t="inlineStr">
        <is>
          <t>GF15_Y13_AUTUMN_030</t>
        </is>
      </c>
      <c r="B35" s="67" t="inlineStr">
        <is>
          <t>宏远来挖人</t>
        </is>
      </c>
      <c r="C35" s="53" t="inlineStr">
        <is>
          <t>第13年·秋季</t>
        </is>
      </c>
      <c r="D35" s="67" t="n">
        <v>100</v>
      </c>
      <c r="E35" s="53" t="inlineStr">
        <is>
          <t>是</t>
        </is>
      </c>
      <c r="F35" s="67" t="inlineStr">
        <is>
          <t>宏远厂来挖〔陈工|小吴〕了，开的是能源总监，年薪翻一倍。他自己没提，是我从客户那边听来的。厂长，这次不是加钱能留住的。</t>
        </is>
      </c>
      <c r="G35" s="53" t="n">
        <v>0</v>
      </c>
      <c r="H35" s="53" t="n">
        <v>0</v>
      </c>
      <c r="I35" s="53" t="inlineStr"/>
      <c r="J35" s="53" t="n">
        <v>0</v>
      </c>
      <c r="K35" s="53" t="inlineStr"/>
      <c r="L35" s="67" t="inlineStr">
        <is>
          <t>是</t>
        </is>
      </c>
      <c r="M35" s="53" t="inlineStr">
        <is>
          <t>源自 green-factory-15-years 厂长路线；原版条件事件已保留条件文本，当前按年份与季节抽取。</t>
        </is>
      </c>
      <c r="N35" s="68" t="inlineStr">
        <is>
          <t>year_story</t>
        </is>
      </c>
      <c r="O35" s="69" t="n">
        <v>13</v>
      </c>
      <c r="P35" s="69" t="inlineStr">
        <is>
          <t>秋</t>
        </is>
      </c>
      <c r="Q35" s="68" t="inlineStr">
        <is>
          <t>lin</t>
        </is>
      </c>
      <c r="R35" s="69" t="inlineStr">
        <is>
          <t>林薇</t>
        </is>
      </c>
      <c r="S35" s="69" t="inlineStr">
        <is>
          <t>[{"id": "1", "text": "找他谈一次，问他想要什么", "hint": "先听，再说", "result": "你们在食堂坐到很晚。他说他不缺钱，缺的是\"做完的事\"。你问他这些年最想做没做成的是哪一件，他报了三个项目的名字，一字不差。第二周你把这三个立项批了。他没有走。", "effects": {"money": -34, "smoke": -6, "morale": 4, "fame": 2, "aff": {"chen": 6}, "flag": "tech_kept"}}, {"id": "2", "text": "把年薪补齐，条件照给", "hint": "花 36 万/年 · 钱能解决的都不是最难的", "result": "他留下了，工资比宏远给的还高一点。但这一年他没再提新方案，会上发言也变少了。你后来才明白，当初他要的不是这个——你花钱买下的，只是他不走。", "effects": {"money": -36, "aff": {"chen": 1}, "flag": "tech_paid"}}, {"id": "3", "text": "祝他前程似锦", "hint": "放手 · 技术这条线会断一阵", "result": "送别那天他把柜子钥匙交给你，说里面的东西都留着。厂里的技改停了大半年才缓过来。半年后宏远发了个新闻稿，说他们建成了行业首个能碳管理平台——照片里那个站在屏幕前的人，你很熟。", "effects": {"smoke": 3, "orders": -4, "morale": -4, "rival": 10, "flag": "tech_gone"}}]</t>
        </is>
      </c>
      <c r="T35" s="69" t="inlineStr">
        <is>
          <t>这件事你知道得太晚。等你想起来找他谈，辞呈已经在桌上了。他说：厂长，您忙。</t>
        </is>
      </c>
      <c r="U35" s="68" t="inlineStr"/>
    </row>
    <row r="36" ht="42" customHeight="1">
      <c r="A36" s="52" t="inlineStr">
        <is>
          <t>GF15_Y14_SPRING_031</t>
        </is>
      </c>
      <c r="B36" s="67" t="inlineStr">
        <is>
          <t>集团要选绿色制造标杆</t>
        </is>
      </c>
      <c r="C36" s="53" t="inlineStr">
        <is>
          <t>第14年·春季</t>
        </is>
      </c>
      <c r="D36" s="67" t="n">
        <v>100</v>
      </c>
      <c r="E36" s="53" t="inlineStr">
        <is>
          <t>是</t>
        </is>
      </c>
      <c r="F36" s="67" t="inlineStr">
        <is>
          <t>集团要在下属工厂里选一个做绿色制造标杆，配套资源不少。需要三年完整的排放、能耗、合规记录。宏远那边听说也在报。</t>
        </is>
      </c>
      <c r="G36" s="53" t="n">
        <v>0</v>
      </c>
      <c r="H36" s="53" t="n">
        <v>0</v>
      </c>
      <c r="I36" s="53" t="inlineStr"/>
      <c r="J36" s="53" t="n">
        <v>0</v>
      </c>
      <c r="K36" s="53" t="inlineStr"/>
      <c r="L36" s="67" t="inlineStr">
        <is>
          <t>是</t>
        </is>
      </c>
      <c r="M36" s="53" t="inlineStr">
        <is>
          <t>源自 green-factory-15-years 厂长路线；原版条件事件已保留条件文本，当前按年份与季节抽取。</t>
        </is>
      </c>
      <c r="N36" s="68" t="inlineStr">
        <is>
          <t>year_story</t>
        </is>
      </c>
      <c r="O36" s="69" t="n">
        <v>14</v>
      </c>
      <c r="P36" s="69" t="inlineStr">
        <is>
          <t>春</t>
        </is>
      </c>
      <c r="Q36" s="68" t="inlineStr">
        <is>
          <t>zhao</t>
        </is>
      </c>
      <c r="R36" s="69" t="inlineStr">
        <is>
          <t>老赵</t>
        </is>
      </c>
      <c r="S36" s="69" t="inlineStr">
        <is>
          <t>[{"id": "1", "text": "报，把这些年的东西整理出来", "hint": "花 20 万 · 东西得是真的", "result": "材料交上去，评审组来了两天。他们没看 PPT，直接调了系统里的原始数据，抽了三个月份逐笔核对。结论下来那天，〔ma:马副总打来电话，第一句话是：\"我就知道。\"|集团那位新领导打来电话，只说了三个字：\"很好。\"接着问了一句：这个能不能复制到别的厂。〕", "effects": {"money": -20, "fame": 14, "orders": 10, "group": 14, "rival": -8, "flag": "flagship"}}, {"id": "2", "text": "报，但有些材料要临时补", "hint": "花 20 万 · 心里没底", "result": "材料交上去了，评审组抽查时问到几个月份的原始记录，你们答得含糊。最后没选上，评语写着\"基础数据管理有待加强\"。老赵把这句话抄在了本子上。", "effects": {"money": -20, "fame": -2, "group": -4}}, {"id": "3", "text": "不报，我们还没到那个份上", "hint": "清醒 · 也可能是自我设限", "result": "你没报。宏远报了，也没选上。这件事后来没人再提。你偶尔会想，如果当时报了会怎样——但你也说不清那是遗憾还是庆幸。", "effects": {"group": -2}}]</t>
        </is>
      </c>
      <c r="T36" s="69" t="inlineStr">
        <is>
          <t>材料没报。这件事在集团那边留了个印象：那个厂好像对什么都不太积极。</t>
        </is>
      </c>
      <c r="U36" s="68" t="inlineStr"/>
    </row>
    <row r="37" ht="42" customHeight="1">
      <c r="A37" s="52" t="inlineStr">
        <is>
          <t>GF15_Y14_AUTUMN_032</t>
        </is>
      </c>
      <c r="B37" s="67" t="inlineStr">
        <is>
          <t>林薇要走了</t>
        </is>
      </c>
      <c r="C37" s="53" t="inlineStr">
        <is>
          <t>第14年·秋季</t>
        </is>
      </c>
      <c r="D37" s="67" t="n">
        <v>100</v>
      </c>
      <c r="E37" s="53" t="inlineStr">
        <is>
          <t>是</t>
        </is>
      </c>
      <c r="F37" s="67" t="inlineStr">
        <is>
          <t>我要走了。不是因为待遇，是有家公司让我做副总，管整个大区。厂长，这十四年我跑坏了六辆车。走之前我想问一句：这十四年，有没有哪一步，你到现在还后悔？</t>
        </is>
      </c>
      <c r="G37" s="53" t="n">
        <v>0</v>
      </c>
      <c r="H37" s="53" t="n">
        <v>0</v>
      </c>
      <c r="I37" s="53" t="inlineStr"/>
      <c r="J37" s="53" t="n">
        <v>0</v>
      </c>
      <c r="K37" s="53" t="inlineStr"/>
      <c r="L37" s="67" t="inlineStr">
        <is>
          <t>是</t>
        </is>
      </c>
      <c r="M37" s="53" t="inlineStr">
        <is>
          <t>源自 green-factory-15-years 厂长路线；原版条件事件已保留条件文本，当前按年份与季节抽取。</t>
        </is>
      </c>
      <c r="N37" s="68" t="inlineStr">
        <is>
          <t>year_story</t>
        </is>
      </c>
      <c r="O37" s="69" t="n">
        <v>14</v>
      </c>
      <c r="P37" s="69" t="inlineStr">
        <is>
          <t>秋</t>
        </is>
      </c>
      <c r="Q37" s="68" t="inlineStr">
        <is>
          <t>lin</t>
        </is>
      </c>
      <c r="R37" s="69" t="inlineStr">
        <is>
          <t>林薇</t>
        </is>
      </c>
      <c r="S37" s="69" t="inlineStr">
        <is>
          <t>[{"id": "1", "text": "不后悔", "hint": "说给她听，也说给自己听", "result": "她笑了，说：\"我就知道你会这么说。\"临走那天她把这些年的客户档案整理成了一个文件夹，交接给了新人，最后一页写着每个客户最在意什么。有些人走的时候，把最值钱的东西留下了。", "effects": {"orders": -6, "morale": 2, "fame": 2, "aff": {"lin": 3}, "flag": "lin_left"}}, {"id": "2", "text": "有时候后悔", "hint": "实话", "result": "你说了实话：有几次夜里算账，确实想过如果当年换个走法，这厂会不会好过很多。她点点头说：\"那就对了。要是你说完全不后悔，我反而觉得你没往心里去。\"", "effects": {"orders": -6, "morale": 3, "aff": {"lin": 4}, "flag": "lin_left"}}, {"id": "3", "text": "开条件留她", "hint": "花 30 万/年 · 留得住人，留不住心", "result": "她留了下来，但眼神不太一样了。一年后她还是走了，去的是同一家公司，位置更高。这一年你多花了四十万，也多留了一年时间——这笔账怎么算，你到现在也没算明白。", "effects": {"money": -30, "orders": 4, "flag": "lin_left"}}]</t>
        </is>
      </c>
      <c r="T37" s="69" t="inlineStr">
        <is>
          <t>你没有挽留，也没有细谈。她把客户档案交接给了新人，最后一页写着每个客户最在意什么——这份东西你三年后才翻到。</t>
        </is>
      </c>
      <c r="U37" s="68" t="inlineStr"/>
    </row>
    <row r="38" ht="42" customHeight="1">
      <c r="A38" s="52" t="inlineStr">
        <is>
          <t>GF15_Y15_SPRING_033</t>
        </is>
      </c>
      <c r="B38" s="67" t="inlineStr">
        <is>
          <t>集团问：这厂下一步往哪走</t>
        </is>
      </c>
      <c r="C38" s="53" t="inlineStr">
        <is>
          <t>第15年·春季</t>
        </is>
      </c>
      <c r="D38" s="67" t="n">
        <v>100</v>
      </c>
      <c r="E38" s="53" t="inlineStr">
        <is>
          <t>是</t>
        </is>
      </c>
      <c r="F38" s="67" t="inlineStr">
        <is>
          <t>第十五年了。集团问你，这个厂下一步往哪走。账上的钱只够办成一件事。</t>
        </is>
      </c>
      <c r="G38" s="53" t="n">
        <v>0</v>
      </c>
      <c r="H38" s="53" t="n">
        <v>0</v>
      </c>
      <c r="I38" s="53" t="inlineStr"/>
      <c r="J38" s="53" t="n">
        <v>0</v>
      </c>
      <c r="K38" s="53" t="inlineStr"/>
      <c r="L38" s="67" t="inlineStr">
        <is>
          <t>是</t>
        </is>
      </c>
      <c r="M38" s="53" t="inlineStr">
        <is>
          <t>源自 green-factory-15-years 厂长路线；原版条件事件已保留条件文本，当前按年份与季节抽取。</t>
        </is>
      </c>
      <c r="N38" s="68" t="inlineStr">
        <is>
          <t>year_story</t>
        </is>
      </c>
      <c r="O38" s="69" t="n">
        <v>15</v>
      </c>
      <c r="P38" s="69" t="inlineStr">
        <is>
          <t>春</t>
        </is>
      </c>
      <c r="Q38" s="68" t="inlineStr">
        <is>
          <t>you</t>
        </is>
      </c>
      <c r="R38" s="69" t="inlineStr">
        <is>
          <t>你</t>
        </is>
      </c>
      <c r="S38" s="69" t="inlineStr">
        <is>
          <t>[{"id": "1", "text": "冲一次绿色工厂认证", "hint": "花 44 万 · 给这十五年一个名分", "result": "申报材料整整装了三个箱子。评审组来现场那天，能源科调出了近三年逐月的能耗曲线，〔liu:小刘|接他班的那个年轻人〕领着他们把每个车间走了一遍。有位评审专家临走说：\"你们这个不是突击做出来的。\"", "effects": {"money": -44, "fame": 12, "smoke": -5, "orders": 6, "group": 6, "flag": "final_cert"}}, {"id": "2", "text": "再上一条产线", "hint": "花 44 万 · 把规模做起来", "result": "新线年底投产，产能提了三成，集团很满意。只是那年冬天客户的问卷又来了一份，比十年前更厚，多了三页专门问能耗和碳数据。", "effects": {"money": -44, "orders": 16, "smoke": 9, "group": 8}}, {"id": "3", "text": "把钱发给员工", "hint": "花 44 万 · 这十五年是他们扛的", "result": "年终大会上你宣布了这个决定，会场安静两秒，然后有人带头鼓掌。一个干了十七年的老师傅上来敬酒：\"厂长，我们知道这些年不容易。\"集团那边对这笔支出问了两次。", "effects": {"money": -44, "morale": 16, "group": -4}}]</t>
        </is>
      </c>
      <c r="T38" s="69" t="inlineStr">
        <is>
          <t>你没有给出明确的方向。那笔钱最后按惯例分摊到了各项日常开支里，年底盘账时谁也说不清它去了哪儿。</t>
        </is>
      </c>
      <c r="U38" s="68" t="inlineStr"/>
    </row>
    <row r="39" ht="42" customHeight="1">
      <c r="A39" s="52" t="inlineStr">
        <is>
          <t>GF15_Y04_SUMMER_034</t>
        </is>
      </c>
      <c r="B39" s="67" t="inlineStr">
        <is>
          <t>客户要签绿色采购承诺函</t>
        </is>
      </c>
      <c r="C39" s="53" t="inlineStr">
        <is>
          <t>第4年·夏季</t>
        </is>
      </c>
      <c r="D39" s="67" t="n">
        <v>100</v>
      </c>
      <c r="E39" s="53" t="inlineStr">
        <is>
          <t>是</t>
        </is>
      </c>
      <c r="F39" s="67" t="inlineStr">
        <is>
          <t>有个客户要求我们签"绿色采购承诺函"，承诺三年内可再生电力用到三成。签了拿单，签不到做不到要赔违约金。</t>
        </is>
      </c>
      <c r="G39" s="53" t="n">
        <v>0</v>
      </c>
      <c r="H39" s="53" t="n">
        <v>0</v>
      </c>
      <c r="I39" s="53" t="inlineStr"/>
      <c r="J39" s="53" t="n">
        <v>0</v>
      </c>
      <c r="K39" s="53" t="inlineStr"/>
      <c r="L39" s="67" t="inlineStr">
        <is>
          <t>是</t>
        </is>
      </c>
      <c r="M39" s="53" t="inlineStr">
        <is>
          <t>源自 green-factory-15-years 厂长路线；原版条件事件已保留条件文本，当前按年份与季节抽取。</t>
        </is>
      </c>
      <c r="N39" s="68" t="inlineStr">
        <is>
          <t>year_story</t>
        </is>
      </c>
      <c r="O39" s="69" t="n">
        <v>4</v>
      </c>
      <c r="P39" s="69" t="inlineStr">
        <is>
          <t>夏</t>
        </is>
      </c>
      <c r="Q39" s="68" t="inlineStr">
        <is>
          <t>lin</t>
        </is>
      </c>
      <c r="R39" s="69" t="inlineStr">
        <is>
          <t>林薇</t>
        </is>
      </c>
      <c r="S39" s="69" t="inlineStr">
        <is>
          <t>[{"id": "1", "text": "签，逼自己一把", "hint": "拿到单 · 三年后要兑现", "result": "单子拿到了。这三年里每次做预算，那份承诺函都摆在桌上——它逼着你把该做的做了。老赵说：\"这是你请人来管自己。\"", "effects": {"orders": 12, "money": 15, "flag": "pledge", "aff": {"lin": 3}}}, {"id": "2", "text": "不签，做不到的事不承诺", "hint": "丢单 · 但不留把柄", "result": "客户很意外，说很少有供应商拒签。半年后他们又来了一次，这次带了技术团队，说想看看\"一家实话实说的厂是什么样\"。", "effects": {"orders": -8, "fame": 4, "aff": {"lin": 1}}}, {"id": "3", "text": "签，但把比例改到一成五", "hint": "谈 · 拿一半的单", "result": "林薇拿着计算器跟对方磨了两个小时，改成了一成五。单子拿到六成。她说：\"能做到多少写多少，这个道理其实客户比我们懂。\"", "effects": {"orders": 5, "money": 8, "flag": "pledge_s", "aff": {"lin": 2}}}]</t>
        </is>
      </c>
      <c r="T39" s="69" t="inlineStr">
        <is>
          <t>承诺函没签。客户把这一项标成了未响应，那批单子给了别人。</t>
        </is>
      </c>
      <c r="U39" s="68" t="inlineStr"/>
    </row>
    <row r="40" ht="42" customHeight="1">
      <c r="A40" s="52" t="inlineStr">
        <is>
          <t>GF15_Y06_SUMMER_035</t>
        </is>
      </c>
      <c r="B40" s="67" t="inlineStr">
        <is>
          <t>老锅炉又不达标了</t>
        </is>
      </c>
      <c r="C40" s="53" t="inlineStr">
        <is>
          <t>第6年·夏季</t>
        </is>
      </c>
      <c r="D40" s="67" t="n">
        <v>100</v>
      </c>
      <c r="E40" s="53" t="inlineStr">
        <is>
          <t>是</t>
        </is>
      </c>
      <c r="F40" s="67" t="inlineStr">
        <is>
          <t>二车间那台老锅炉，环保标准又提了一档。改造要八十万，换新的要一百四十万，还有一条路——买蒸汽。园区管网到咱们墙外了。</t>
        </is>
      </c>
      <c r="G40" s="53" t="n">
        <v>0</v>
      </c>
      <c r="H40" s="53" t="n">
        <v>0</v>
      </c>
      <c r="I40" s="53" t="inlineStr"/>
      <c r="J40" s="53" t="n">
        <v>0</v>
      </c>
      <c r="K40" s="53" t="inlineStr"/>
      <c r="L40" s="67" t="inlineStr">
        <is>
          <t>是</t>
        </is>
      </c>
      <c r="M40" s="53" t="inlineStr">
        <is>
          <t>源自 green-factory-15-years 厂长路线；原版条件事件已保留条件文本，当前按年份与季节抽取。</t>
        </is>
      </c>
      <c r="N40" s="68" t="inlineStr">
        <is>
          <t>year_story</t>
        </is>
      </c>
      <c r="O40" s="69" t="n">
        <v>6</v>
      </c>
      <c r="P40" s="69" t="inlineStr">
        <is>
          <t>夏</t>
        </is>
      </c>
      <c r="Q40" s="68" t="inlineStr">
        <is>
          <t>zhou</t>
        </is>
      </c>
      <c r="R40" s="69" t="inlineStr">
        <is>
          <t>老周</t>
        </is>
      </c>
      <c r="S40" s="69" t="inlineStr">
        <is>
          <t>[{"id": "1", "text": "改造老锅炉", "hint": "花 58 万 · 凑合达标", "result": "改完勉强达标。三年后标准又提了一档，这笔钱等于白花了一半。老周说：\"这种事就怕改一半，改一半等于改两次。\"", "effects": {"money": -58, "smoke": -5, "risk": -1, "fac": {"boiler": 1}}}, {"id": "2", "text": "买园区蒸汽，锅炉停了", "hint": "花 30 万 接口费 · 从此不烧煤气", "result": "锅炉房空了出来，后来改成了工具间。热成本略高，但排放、环保手续、人工全省了。老周在空锅炉房里站了很久——他在这儿看了十六年的火。", "effects": {"money": -30, "smoke": -14, "morale": -3, "risk": -1, "flag": "steam", "fac": {"boiler": 2}}}, {"id": "3", "text": "换台新的，一步到位", "hint": "花 95 万 · 账上会很难看", "result": "新锅炉效率高、排放低，指标漂亮。但这笔钱压得后面两年什么都做不了，几次机会都是眼看着过去的。", "effects": {"money": -95, "smoke": -11, "tech": 6, "risk": -1}}]</t>
        </is>
      </c>
      <c r="T40" s="69" t="inlineStr">
        <is>
          <t>锅炉一直拖着没动。第二年环保核查时被要求限期整改，罚了十八万，还停了半个月。</t>
        </is>
      </c>
      <c r="U40" s="68" t="inlineStr"/>
    </row>
    <row r="41" ht="42" customHeight="1">
      <c r="A41" s="52" t="inlineStr">
        <is>
          <t>GF15_Y08_SUMMER_036</t>
        </is>
      </c>
      <c r="B41" s="67" t="inlineStr">
        <is>
          <t>银行来推绿色信贷</t>
        </is>
      </c>
      <c r="C41" s="53" t="inlineStr">
        <is>
          <t>第8年·夏季</t>
        </is>
      </c>
      <c r="D41" s="67" t="n">
        <v>100</v>
      </c>
      <c r="E41" s="53" t="inlineStr">
        <is>
          <t>是</t>
        </is>
      </c>
      <c r="F41" s="67" t="inlineStr">
        <is>
          <t>银行来推绿色信贷，利率比普通贷款低一截。但要提供三年的能耗和排放数据，还要接受年度核查。</t>
        </is>
      </c>
      <c r="G41" s="53" t="n">
        <v>0</v>
      </c>
      <c r="H41" s="53" t="n">
        <v>0</v>
      </c>
      <c r="I41" s="53" t="inlineStr"/>
      <c r="J41" s="53" t="n">
        <v>0</v>
      </c>
      <c r="K41" s="53" t="inlineStr"/>
      <c r="L41" s="67" t="inlineStr">
        <is>
          <t>是</t>
        </is>
      </c>
      <c r="M41" s="53" t="inlineStr">
        <is>
          <t>源自 green-factory-15-years 厂长路线；原版条件事件已保留条件文本，当前按年份与季节抽取。</t>
        </is>
      </c>
      <c r="N41" s="68" t="inlineStr">
        <is>
          <t>year_story</t>
        </is>
      </c>
      <c r="O41" s="69" t="n">
        <v>8</v>
      </c>
      <c r="P41" s="69" t="inlineStr">
        <is>
          <t>夏</t>
        </is>
      </c>
      <c r="Q41" s="68" t="inlineStr">
        <is>
          <t>zhao</t>
        </is>
      </c>
      <c r="R41" s="69" t="inlineStr">
        <is>
          <t>老赵</t>
        </is>
      </c>
      <c r="S41" s="69" t="inlineStr">
        <is>
          <t>[{"id": "1", "text": "申请，把数据交上去", "hint": "省利息 · 从此年年被核查", "result": "贷款批了，一年省下三十多万利息。代价是每年要接受一次第三方核查，数据造不了假。老赵说：\"这钱省得踏实，也省得没有退路。\"", "effects": {"money": 38, "risk": -1, "flag": "green_loan"}}, {"id": "2", "text": "先按银行的口径把数据补起来，明年再申请", "hint": "花 10 万 · 慢一年，但门开着", "result": "你请了家事务所帮着把口径理顺，用了大半年。第二年再去，银行的人翻了两页就说可以了。老赵算过一笔账：这一年多付的利息，比请人理数据的钱还多一点点。但从此这扇门是开着的。", "effects": {"money": -10, "tech": 5, "flag": "ledger"}}, {"id": "3", "text": "不申请，不想被人年年查账", "hint": "省事 · 多付利息", "result": "你放弃了。多付的利息不多，但那份\"不想被人查\"的心态，老赵记了很久。他后来说：\"厂长，怕查的人，多半是有东西不想让人看见。\"", "effects": {"money": -14}}]</t>
        </is>
      </c>
      <c r="T41" s="69" t="inlineStr">
        <is>
          <t>你没顾上办。多付的利息不多，但老赵后来提过一句：那种便宜，是给准备好的人留的。</t>
        </is>
      </c>
      <c r="U41" s="68" t="inlineStr"/>
    </row>
    <row r="42" ht="42" customHeight="1">
      <c r="A42" s="52" t="inlineStr">
        <is>
          <t>GF15_Y10_SUMMER_037</t>
        </is>
      </c>
      <c r="B42" s="67" t="inlineStr">
        <is>
          <t>集团要调走小刘</t>
        </is>
      </c>
      <c r="C42" s="53" t="inlineStr">
        <is>
          <t>第10年·夏季</t>
        </is>
      </c>
      <c r="D42" s="67" t="n">
        <v>100</v>
      </c>
      <c r="E42" s="53" t="inlineStr">
        <is>
          <t>是</t>
        </is>
      </c>
      <c r="F42" s="67" t="inlineStr">
        <is>
          <t>集团要在几个厂之间调一批人，你这儿的小刘被点了名，去总部做生产管理。对他是好事。</t>
        </is>
      </c>
      <c r="G42" s="53" t="n">
        <v>0</v>
      </c>
      <c r="H42" s="53" t="n">
        <v>0</v>
      </c>
      <c r="I42" s="53" t="inlineStr"/>
      <c r="J42" s="53" t="n">
        <v>0</v>
      </c>
      <c r="K42" s="53" t="inlineStr"/>
      <c r="L42" s="67" t="inlineStr">
        <is>
          <t>是</t>
        </is>
      </c>
      <c r="M42" s="53" t="inlineStr">
        <is>
          <t>源自 green-factory-15-years 厂长路线；原版条件事件已保留条件文本，当前按年份与季节抽取。</t>
        </is>
      </c>
      <c r="N42" s="68" t="inlineStr">
        <is>
          <t>year_story</t>
        </is>
      </c>
      <c r="O42" s="69" t="n">
        <v>10</v>
      </c>
      <c r="P42" s="69" t="inlineStr">
        <is>
          <t>夏</t>
        </is>
      </c>
      <c r="Q42" s="68" t="inlineStr">
        <is>
          <t>ma</t>
        </is>
      </c>
      <c r="R42" s="69" t="inlineStr">
        <is>
          <t>马副总</t>
        </is>
      </c>
      <c r="S42" s="69" t="inlineStr">
        <is>
          <t>[{"id": "1", "text": "放他走，替他高兴", "hint": "断层 · 但人得往前走", "result": "小刘走的那天，〔#zhou〕送到大门口，什么也没说。三车间的位置空了半年，最后从班组里提了个人，磕磕绊绊带了一年。你后来在总部见过小刘一次，他说起厂里的事还是\"我们厂\"。", "effects": {"orders": -5, "morale": 4, "group": 5, "aff": {"zhou": 2}, "flag": "liu_out"}}, {"id": "2", "text": "跟集团说这个人我留下", "hint": "留住骨干 · 但挡了别人的路", "result": "人留下了。小刘嘴上说\"听厂长安排\"，但那年之后他很少再主动加班。三年后他还是走了，去了一家民企。有些人你留得住一次，留不住第二次。", "effects": {"orders": 3, "morale": -4, "group": -5, "aff": {"zhou": -1}}}]</t>
        </is>
      </c>
      <c r="T42" s="69" t="inlineStr">
        <is>
          <t>调令直接下来了，你连挽留的话都没来得及说。小刘走的那天，〔#zhou〕送到大门口，回来跟你说了句厂长，这事您本该说句话的。</t>
        </is>
      </c>
      <c r="U42" s="68" t="inlineStr"/>
    </row>
    <row r="43" ht="42" customHeight="1">
      <c r="A43" s="52" t="inlineStr">
        <is>
          <t>GF15_Y12_SUMMER_038</t>
        </is>
      </c>
      <c r="B43" s="67" t="inlineStr">
        <is>
          <t>车间问：绿色跟我们有啥关系</t>
        </is>
      </c>
      <c r="C43" s="53" t="inlineStr">
        <is>
          <t>第12年·夏季</t>
        </is>
      </c>
      <c r="D43" s="67" t="n">
        <v>100</v>
      </c>
      <c r="E43" s="53" t="inlineStr">
        <is>
          <t>是</t>
        </is>
      </c>
      <c r="F43" s="67" t="inlineStr">
        <is>
          <t>厂长，车间几个老师傅问，厂里这些年搞的这些绿色、认证、台账，跟他们到底有什么关系？他们说反正干的还是那点活。</t>
        </is>
      </c>
      <c r="G43" s="53" t="n">
        <v>0</v>
      </c>
      <c r="H43" s="53" t="n">
        <v>0</v>
      </c>
      <c r="I43" s="53" t="inlineStr"/>
      <c r="J43" s="53" t="n">
        <v>0</v>
      </c>
      <c r="K43" s="53" t="inlineStr"/>
      <c r="L43" s="67" t="inlineStr">
        <is>
          <t>是</t>
        </is>
      </c>
      <c r="M43" s="53" t="inlineStr">
        <is>
          <t>源自 green-factory-15-years 厂长路线；原版条件事件已保留条件文本，当前按年份与季节抽取。</t>
        </is>
      </c>
      <c r="N43" s="68" t="inlineStr">
        <is>
          <t>year_story</t>
        </is>
      </c>
      <c r="O43" s="69" t="n">
        <v>12</v>
      </c>
      <c r="P43" s="69" t="inlineStr">
        <is>
          <t>夏</t>
        </is>
      </c>
      <c r="Q43" s="68" t="inlineStr">
        <is>
          <t>zhou</t>
        </is>
      </c>
      <c r="R43" s="69" t="inlineStr">
        <is>
          <t>老周</t>
        </is>
      </c>
      <c r="S43" s="69" t="inlineStr">
        <is>
          <t>[{"id": "1", "text": "开个会，把账算给他们看", "hint": "花半天工时 · 说清楚", "result": "你把这些年的电费单、订单来源、客户审核记录做成几张图，在食堂讲了四十分钟。有人听懂了，有人打瞌睡。散会后一个老师傅问你：\"那我省下的电，能不能算我的？\"这句话后来变成了厂里的节能提案奖。", "effects": {"morale": 8, "smoke": -4, "tech": 5, "flag": "shopfloor"}}, {"id": "2", "text": "把节能省下的钱拿出一部分发下去", "hint": "花 30 万/年 · 直接兑现", "result": "节能奖金发下去那个月，三车间自己关掉了两台常年空转的风机。〔#zhou〕说：\"早该这么干。一句道理讲十遍，不如一笔钱发一次。\"", "effects": {"money": -30, "morale": 12, "smoke": -6, "flag": "shopfloor"}}, {"id": "3", "text": "这事跟他们确实没关系", "hint": "省事 · 但从此是两张皮", "result": "你没回答。这些年厂里所有跟绿色有关的事，就一直是办公室那几个人的事。材料做得很漂亮，车间照旧。审核员来的时候，问一线的人总是问不出什么。", "effects": {"risk": 1, "morale": -3, "flag": "two_skins"}}]</t>
        </is>
      </c>
      <c r="T43" s="69" t="inlineStr">
        <is>
          <t>这个问题没人回答。厂里所有跟绿色有关的事，从此就一直是办公室那几个人的事，车间照旧。</t>
        </is>
      </c>
      <c r="U43" s="68" t="inlineStr"/>
    </row>
    <row r="44" ht="42" customHeight="1">
      <c r="A44" s="52" t="inlineStr">
        <is>
          <t>GF15_Y11_SUMMER_039</t>
        </is>
      </c>
      <c r="B44" s="67" t="inlineStr">
        <is>
          <t>贸易商想包销三成产能</t>
        </is>
      </c>
      <c r="C44" s="53" t="inlineStr">
        <is>
          <t>第11年·夏季</t>
        </is>
      </c>
      <c r="D44" s="67" t="n">
        <v>100</v>
      </c>
      <c r="E44" s="53" t="inlineStr">
        <is>
          <t>是</t>
        </is>
      </c>
      <c r="F44" s="67" t="inlineStr">
        <is>
          <t>有家做出口的贸易商找上门，愿意包销我们三成产能。价格不高，但省了所有销售的事。只是这样一来，客户是谁我们就不知道了。</t>
        </is>
      </c>
      <c r="G44" s="53" t="n">
        <v>0</v>
      </c>
      <c r="H44" s="53" t="n">
        <v>0</v>
      </c>
      <c r="I44" s="53" t="inlineStr"/>
      <c r="J44" s="53" t="n">
        <v>0</v>
      </c>
      <c r="K44" s="53" t="inlineStr"/>
      <c r="L44" s="67" t="inlineStr">
        <is>
          <t>是</t>
        </is>
      </c>
      <c r="M44" s="53" t="inlineStr">
        <is>
          <t>源自 green-factory-15-years 厂长路线；原版条件事件已保留条件文本，当前按年份与季节抽取。</t>
        </is>
      </c>
      <c r="N44" s="68" t="inlineStr">
        <is>
          <t>year_story</t>
        </is>
      </c>
      <c r="O44" s="69" t="n">
        <v>11</v>
      </c>
      <c r="P44" s="69" t="inlineStr">
        <is>
          <t>夏</t>
        </is>
      </c>
      <c r="Q44" s="68" t="inlineStr">
        <is>
          <t>lin</t>
        </is>
      </c>
      <c r="R44" s="69" t="inlineStr">
        <is>
          <t>林薇</t>
        </is>
      </c>
      <c r="S44" s="69" t="inlineStr">
        <is>
          <t>[{"id": "1", "text": "签，省心", "hint": "稳定的量 · 从此看不见终端客户", "result": "产线稳了，销售压力小了。但从那以后，客户的要求都是转述的，问卷是贸易商代填的，你再也没直接见过用你产品的人。两年后贸易商换了供应商，你才知道自己什么也没积累下来。", "effects": {"orders": 14, "money": 20, "fame": -6, "flag": "oem"}}, {"id": "2", "text": "不签，自己跑客户", "hint": "累 · 但知道自己在给谁做", "result": "林薇又开始一家家跑。三年后她拿回来一份客户名单，四十七家，每家后面都写着最在意什么。她说：\"这个东西，贸易商是不会给你的。\"", "effects": {"orders": -4, "fame": 6, "aff": {"lin": 4}}}]</t>
        </is>
      </c>
      <c r="T44" s="69" t="inlineStr">
        <is>
          <t>你一直没定，对方转头找了别家。这三成产能还得自己跑，林薇又多跑了一年。</t>
        </is>
      </c>
      <c r="U44" s="68" t="inlineStr"/>
    </row>
    <row r="45" ht="42" customHeight="1">
      <c r="A45" s="52" t="inlineStr">
        <is>
          <t>GF15_Y03_SUMMER_040</t>
        </is>
      </c>
      <c r="B45" s="67" t="inlineStr">
        <is>
          <t>副厂长的位子空着</t>
        </is>
      </c>
      <c r="C45" s="53" t="inlineStr">
        <is>
          <t>第3年·夏季</t>
        </is>
      </c>
      <c r="D45" s="67" t="n">
        <v>100</v>
      </c>
      <c r="E45" s="53" t="inlineStr">
        <is>
          <t>是</t>
        </is>
      </c>
      <c r="F45" s="67" t="inlineStr">
        <is>
          <t>副厂长退休半年了，位子还空着。老周资格最老，但他只认车间那一套；外面招一个来得快，可这厂的人认不认，两说。</t>
        </is>
      </c>
      <c r="G45" s="53" t="n">
        <v>0</v>
      </c>
      <c r="H45" s="53" t="n">
        <v>0</v>
      </c>
      <c r="I45" s="53" t="inlineStr"/>
      <c r="J45" s="53" t="n">
        <v>0</v>
      </c>
      <c r="K45" s="53" t="inlineStr"/>
      <c r="L45" s="67" t="inlineStr">
        <is>
          <t>是</t>
        </is>
      </c>
      <c r="M45" s="53" t="inlineStr">
        <is>
          <t>源自 green-factory-15-years 厂长路线；原版条件事件已保留条件文本，当前按年份与季节抽取。</t>
        </is>
      </c>
      <c r="N45" s="68" t="inlineStr">
        <is>
          <t>year_story</t>
        </is>
      </c>
      <c r="O45" s="69" t="n">
        <v>3</v>
      </c>
      <c r="P45" s="69" t="inlineStr">
        <is>
          <t>夏</t>
        </is>
      </c>
      <c r="Q45" s="68" t="inlineStr">
        <is>
          <t>zhao</t>
        </is>
      </c>
      <c r="R45" s="69" t="inlineStr">
        <is>
          <t>老赵</t>
        </is>
      </c>
      <c r="S45" s="69" t="inlineStr">
        <is>
          <t>[{"id": "1", "text": "提老周", "hint": "车间服气 · 但他不懂新东西", "result": "老周上任那天在食堂敬了一圈酒。车间从此上下一条心，交代什么办什么。只是往后凡是涉及新技术、新标准的事，他第一反应都是\"这个我们干不了\"，你得多花一倍的口舌。", "effects": {"morale": 9, "aff": {"zhou": 6, "chen": -2}, "flag": "vp_zhou"}}, {"id": "2", "text": "从外面招一个", "hint": "专业 · 但要磨合两年", "result": "新人履历漂亮，第一个月就做了三份改善方案。车间当面客气，背后叫他\"那个外面来的\"。两年后方案落地了一半，另一半死在了执行环节。", "effects": {"tech": 8, "morale": -6, "aff": {"zhou": -4}, "flag": "vp_out"}}, {"id": "3", "text": "先空着，我自己盯", "hint": "省事 · 你会很累", "result": "你一个人管到底，事无巨细。头两年效率很高，第三年开始你发现自己在会上讲的每句话都得重复三遍——一个人的精力就那么多。", "effects": {"money": 8, "morale": -2, "flag": "vp_none"}}]</t>
        </is>
      </c>
      <c r="T45" s="69" t="inlineStr">
        <is>
          <t>位子一直空着，两拨人各干各的。开会时谁也不看谁，你成了唯一的传声筒。</t>
        </is>
      </c>
      <c r="U45" s="68" t="inlineStr"/>
    </row>
    <row r="46" ht="42" customHeight="1">
      <c r="A46" s="52" t="inlineStr">
        <is>
          <t>GF15_Y04_SUMMER_041</t>
        </is>
      </c>
      <c r="B46" s="67" t="inlineStr">
        <is>
          <t>集团派人来挂职</t>
        </is>
      </c>
      <c r="C46" s="53" t="inlineStr">
        <is>
          <t>第4年·夏季</t>
        </is>
      </c>
      <c r="D46" s="67" t="n">
        <v>100</v>
      </c>
      <c r="E46" s="53" t="inlineStr">
        <is>
          <t>是</t>
        </is>
      </c>
      <c r="F46" s="67" t="inlineStr">
        <is>
          <t>集团派了个年轻干部来挂职副厂长，一年。说是锻炼，但谁都知道他回去要写份报告。他昨天已经开始翻车间的台账了。</t>
        </is>
      </c>
      <c r="G46" s="53" t="n">
        <v>0</v>
      </c>
      <c r="H46" s="53" t="n">
        <v>0</v>
      </c>
      <c r="I46" s="53" t="inlineStr"/>
      <c r="J46" s="53" t="n">
        <v>0</v>
      </c>
      <c r="K46" s="53" t="inlineStr"/>
      <c r="L46" s="67" t="inlineStr">
        <is>
          <t>是</t>
        </is>
      </c>
      <c r="M46" s="53" t="inlineStr">
        <is>
          <t>源自 green-factory-15-years 厂长路线；原版条件事件已保留条件文本，当前按年份与季节抽取。</t>
        </is>
      </c>
      <c r="N46" s="68" t="inlineStr">
        <is>
          <t>year_story</t>
        </is>
      </c>
      <c r="O46" s="69" t="n">
        <v>4</v>
      </c>
      <c r="P46" s="69" t="inlineStr">
        <is>
          <t>夏</t>
        </is>
      </c>
      <c r="Q46" s="68" t="inlineStr">
        <is>
          <t>ma</t>
        </is>
      </c>
      <c r="R46" s="69" t="inlineStr">
        <is>
          <t>马副总</t>
        </is>
      </c>
      <c r="S46" s="69" t="inlineStr">
        <is>
          <t>[{"id": "1", "text": "什么都给他看，包括不好看的", "hint": "赌他讲实话", "result": "你把该整改的清单和整改计划一起给了他。他在报告里写：这个厂的问题都摆在明面上，厂长知道每一个。集团后来批技改预算时，引用了这句话。", "effects": {"group": 10, "aff": {"ma": 3}, "flag": "open_book"}}, {"id": "2", "text": "安排好路线，只让他看做得好的", "hint": "稳妥", "result": "他一年待得很舒服，报告写得四平八稳。你既没得罪人，也没留下什么印象。这种报告集团一年要看几十份。", "effects": {"group": 2}}, {"id": "3", "text": "把他当自己人带，教他真东西", "hint": "花你不少精力 · 可能是长线投资", "result": "你带着他跑客户、看设备、谈整改，什么都讲。他回集团三年后升了处长，分管的正好是技改预算。有些人情是在人还不重要的时候攒下的。", "effects": {"group": 6, "morale": -2, "aff": {"ma": 4}, "flag": "ma_ally"}}]</t>
        </is>
      </c>
      <c r="T46" s="69" t="inlineStr">
        <is>
          <t>你没怎么搭理那位挂职干部。他半年后回集团，述职报告里对你的评价只有八个字：不太配合，情况不明。</t>
        </is>
      </c>
      <c r="U46" s="68" t="inlineStr"/>
    </row>
    <row r="47" ht="42" customHeight="1">
      <c r="A47" s="52" t="inlineStr">
        <is>
          <t>GF15_Y06_SUMMER_042</t>
        </is>
      </c>
      <c r="B47" s="67" t="inlineStr">
        <is>
          <t>老周和〔陈工|小吴〕吵起来了</t>
        </is>
      </c>
      <c r="C47" s="53" t="inlineStr">
        <is>
          <t>第6年·夏季</t>
        </is>
      </c>
      <c r="D47" s="67" t="n">
        <v>100</v>
      </c>
      <c r="E47" s="53" t="inlineStr">
        <is>
          <t>是</t>
        </is>
      </c>
      <c r="F47" s="67" t="inlineStr">
        <is>
          <t>厂长，我跟〔陈工|小吴〕在会上吵起来了。他要停线三天改工艺，我说这个月的交期怎么办。当着全车间的面，谁也没让谁。</t>
        </is>
      </c>
      <c r="G47" s="53" t="n">
        <v>0</v>
      </c>
      <c r="H47" s="53" t="n">
        <v>0</v>
      </c>
      <c r="I47" s="53" t="inlineStr"/>
      <c r="J47" s="53" t="n">
        <v>0</v>
      </c>
      <c r="K47" s="53" t="inlineStr"/>
      <c r="L47" s="67" t="inlineStr">
        <is>
          <t>是</t>
        </is>
      </c>
      <c r="M47" s="53" t="inlineStr">
        <is>
          <t>源自 green-factory-15-years 厂长路线；原版条件事件已保留条件文本，当前按年份与季节抽取。</t>
        </is>
      </c>
      <c r="N47" s="68" t="inlineStr">
        <is>
          <t>year_story</t>
        </is>
      </c>
      <c r="O47" s="69" t="n">
        <v>6</v>
      </c>
      <c r="P47" s="69" t="inlineStr">
        <is>
          <t>夏</t>
        </is>
      </c>
      <c r="Q47" s="68" t="inlineStr">
        <is>
          <t>zhou</t>
        </is>
      </c>
      <c r="R47" s="69" t="inlineStr">
        <is>
          <t>老周</t>
        </is>
      </c>
      <c r="S47" s="69" t="inlineStr">
        <is>
          <t>[{"id": "1", "text": "当众支持老周", "hint": "车间踏实 · 技术条线寒心", "result": "你在会上说了句\"生产是第一位的\"。车间的人心定了，交期保住了。散会后〔陈工|小吴〕一个人在办公室坐了很久，那份方案他没再拿出来过。", "effects": {"morale": 6, "orders": 4, "smoke": 2, "aff": {"zhou": 4, "chen": -6}}}, {"id": "2", "text": "当众支持〔陈工|小吴〕", "hint": "技术条线来劲 · 老周下不来台", "result": "停线三天，工艺改成了。老周当着人没说什么，只是那之后他再没在会上主动发过言。有些人不是被否定打垮的，是被当众否定。", "effects": {"smoke": -5, "tech": 6, "morale": -6, "aff": {"chen": 5, "zhou": -6}}}, {"id": "3", "text": "谁也不表态，会后分别谈", "hint": "累 · 但两个都保住了", "result": "你分别找他们谈了一下午，最后方案改成分批停线，交期延三天。两个人都觉得自己没输，也都觉得你偏袒了对方一点点——这大概就是当厂长的常态。", "effects": {"smoke": -3, "orders": -2, "morale": 2, "aff": {"zhou": 1, "chen": 1}, "flag": "balanced_call"}}]</t>
        </is>
      </c>
      <c r="T47" s="69" t="inlineStr">
        <is>
          <t>你没有表态。这场架从此就摆在那儿，谁也不提，谁也不忘。车间和技术科从此各说各话，中间隔着一堵看不见的墙。</t>
        </is>
      </c>
      <c r="U47" s="68" t="inlineStr"/>
    </row>
    <row r="48" ht="42" customHeight="1">
      <c r="A48" s="52" t="inlineStr">
        <is>
          <t>GF15_Y09_SUMMER_043</t>
        </is>
      </c>
      <c r="B48" s="67" t="inlineStr">
        <is>
          <t>有人越级告状</t>
        </is>
      </c>
      <c r="C48" s="53" t="inlineStr">
        <is>
          <t>第9年·夏季</t>
        </is>
      </c>
      <c r="D48" s="67" t="n">
        <v>100</v>
      </c>
      <c r="E48" s="53" t="inlineStr">
        <is>
          <t>是</t>
        </is>
      </c>
      <c r="F48" s="67" t="inlineStr">
        <is>
          <t>集团纪检来电话了。有人实名反映你违规发放节能奖金、擅自决定技改项目。信是从厂里发出去的，用的是内部信封。</t>
        </is>
      </c>
      <c r="G48" s="53" t="n">
        <v>0</v>
      </c>
      <c r="H48" s="53" t="n">
        <v>0</v>
      </c>
      <c r="I48" s="53" t="inlineStr"/>
      <c r="J48" s="53" t="n">
        <v>0</v>
      </c>
      <c r="K48" s="53" t="inlineStr"/>
      <c r="L48" s="67" t="inlineStr">
        <is>
          <t>是</t>
        </is>
      </c>
      <c r="M48" s="53" t="inlineStr">
        <is>
          <t>源自 green-factory-15-years 厂长路线；原版条件事件已保留条件文本，当前按年份与季节抽取。</t>
        </is>
      </c>
      <c r="N48" s="68" t="inlineStr">
        <is>
          <t>year_story</t>
        </is>
      </c>
      <c r="O48" s="69" t="n">
        <v>9</v>
      </c>
      <c r="P48" s="69" t="inlineStr">
        <is>
          <t>夏</t>
        </is>
      </c>
      <c r="Q48" s="68" t="inlineStr">
        <is>
          <t>zhao</t>
        </is>
      </c>
      <c r="R48" s="69" t="inlineStr">
        <is>
          <t>老赵</t>
        </is>
      </c>
      <c r="S48" s="69" t="inlineStr">
        <is>
          <t>[{"id": "1", "text": "把所有材料交上去，请他们查", "hint": "查得清 · 但要停半个月配合", "result": "工作组查了半个月，结论是\"程序有瑕疵，无违纪问题\"。查清之后没人再提这事。但那半个月你什么也没干成，而且从此你知道，这厂里有人在盯着你。", "effects": {"money": -10, "orders": -4, "group": 4, "flag": "cleared"}}, {"id": "2", "text": "先找出这是谁写的", "hint": "会查到 · 但代价是人心", "result": "你查到了，是财务科一个老同志，为了去年没提拔他。你什么也没做，但这事传开了。从那以后，没有人再在会上说反对意见——包括该说的那些。", "effects": {"morale": -9, "group": -2, "flag": "witch_hunt", "report": 1}}, {"id": "3", "text": "不理，该干什么干什么", "hint": "清者自清 · 也可能越描越黑", "result": "你没有专门回应，只是把所有决策的会议纪要整理归档。三个月后事情不了了之。老赵说了句：\"厂长，您这次是运气好。下次记得先把纪要做全。\"", "effects": {"group": -3, "aff": {"zhao": 2}, "report": 1}}]</t>
        </is>
      </c>
      <c r="T48" s="69" t="inlineStr">
        <is>
          <t>你没有回应。集团派了工作组来待了三天，什么也没查出来，但那三天里，全厂都知道有人告了你的状。</t>
        </is>
      </c>
      <c r="U48" s="68" t="inlineStr"/>
    </row>
    <row r="49" ht="42" customHeight="1">
      <c r="A49" s="52" t="inlineStr">
        <is>
          <t>GF15_Y12_SUMMER_044</t>
        </is>
      </c>
      <c r="B49" s="67" t="inlineStr">
        <is>
          <t>新领导不认旧账</t>
        </is>
      </c>
      <c r="C49" s="53" t="inlineStr">
        <is>
          <t>第12年·夏季</t>
        </is>
      </c>
      <c r="D49" s="67" t="n">
        <v>100</v>
      </c>
      <c r="E49" s="53" t="inlineStr">
        <is>
          <t>是</t>
        </is>
      </c>
      <c r="F49" s="67" t="inlineStr">
        <is>
          <t>（马副总退了，来的是位新的）你们厂这些年在绿色上花的钱不少，产出我没看明白。老同志留下的账，我得重新算一遍。</t>
        </is>
      </c>
      <c r="G49" s="53" t="n">
        <v>0</v>
      </c>
      <c r="H49" s="53" t="n">
        <v>0</v>
      </c>
      <c r="I49" s="53" t="inlineStr"/>
      <c r="J49" s="53" t="n">
        <v>0</v>
      </c>
      <c r="K49" s="53" t="inlineStr"/>
      <c r="L49" s="67" t="inlineStr">
        <is>
          <t>是</t>
        </is>
      </c>
      <c r="M49" s="53" t="inlineStr">
        <is>
          <t>源自 green-factory-15-years 厂长路线；原版条件事件已保留条件文本，当前按年份与季节抽取。</t>
        </is>
      </c>
      <c r="N49" s="68" t="inlineStr">
        <is>
          <t>year_story</t>
        </is>
      </c>
      <c r="O49" s="69" t="n">
        <v>12</v>
      </c>
      <c r="P49" s="69" t="inlineStr">
        <is>
          <t>夏</t>
        </is>
      </c>
      <c r="Q49" s="68" t="inlineStr">
        <is>
          <t>ma</t>
        </is>
      </c>
      <c r="R49" s="69" t="inlineStr">
        <is>
          <t>马副总</t>
        </is>
      </c>
      <c r="S49" s="69" t="inlineStr">
        <is>
          <t>[{"id": "1", "text": "把这些年的数据一条条摆给他看", "hint": "要拿得出东西", "result": "你调出了历年能耗曲线、客户审核结论、罚款记录（一次都没有）。他看完只说了句：\"这些数据比我在集团看到的报表实在。\"往后他成了你在集团最稳的支持者。", "effects": {"group": 14, "fame": 4, "aff": {"ma": 4}, "flag": "new_ally"}}, {"id": "2", "text": "讲这些年的故事，讲人和事", "hint": "动情 · 但他要的是数", "result": "你讲了〔#zhou〕、讲了那次督察、讲了停线两周改废水。他听得很认真，最后说：\"都是好故事。数据整理一份给我。\"这句话你听了很多年，每次都是同一个意思。", "effects": {"group": 2}}, {"id": "3", "text": "先摸他的路数，别急着表态", "hint": "谨慎 · 也可能错过窗口", "result": "你陪着看了一圈，没多说什么。他也没多问。半年后集团的资源分配方案下来，你们厂在中游偏后——不是被针对，只是没有存在感。", "effects": {"group": -5}}]</t>
        </is>
      </c>
      <c r="T49" s="69" t="inlineStr">
        <is>
          <t>新领导来厂里转了半小时就走了。往后两年，凡是需要集团点头的事，你都要多跑三趟。</t>
        </is>
      </c>
      <c r="U49" s="68" t="inlineStr"/>
    </row>
    <row r="50" ht="42" customHeight="1">
      <c r="A50" s="52" t="inlineStr">
        <is>
          <t>GF15_Y13_SUMMER_045</t>
        </is>
      </c>
      <c r="B50" s="67" t="inlineStr">
        <is>
          <t>该提拔谁</t>
        </is>
      </c>
      <c r="C50" s="53" t="inlineStr">
        <is>
          <t>第13年·夏季</t>
        </is>
      </c>
      <c r="D50" s="67" t="n">
        <v>100</v>
      </c>
      <c r="E50" s="53" t="inlineStr">
        <is>
          <t>是</t>
        </is>
      </c>
      <c r="F50" s="67" t="inlineStr">
        <is>
          <t>技术科长的位子要定人。一个是跟了十年的老人，稳，但这些年没什么长进；一个是新来三年的，能干，但资历浅、脾气冲。</t>
        </is>
      </c>
      <c r="G50" s="53" t="n">
        <v>0</v>
      </c>
      <c r="H50" s="53" t="n">
        <v>0</v>
      </c>
      <c r="I50" s="53" t="inlineStr"/>
      <c r="J50" s="53" t="n">
        <v>0</v>
      </c>
      <c r="K50" s="53" t="inlineStr"/>
      <c r="L50" s="67" t="inlineStr">
        <is>
          <t>是</t>
        </is>
      </c>
      <c r="M50" s="53" t="inlineStr">
        <is>
          <t>源自 green-factory-15-years 厂长路线；原版条件事件已保留条件文本，当前按年份与季节抽取。</t>
        </is>
      </c>
      <c r="N50" s="68" t="inlineStr">
        <is>
          <t>year_story</t>
        </is>
      </c>
      <c r="O50" s="69" t="n">
        <v>13</v>
      </c>
      <c r="P50" s="69" t="inlineStr">
        <is>
          <t>夏</t>
        </is>
      </c>
      <c r="Q50" s="68" t="inlineStr">
        <is>
          <t>zhou</t>
        </is>
      </c>
      <c r="R50" s="69" t="inlineStr">
        <is>
          <t>老周</t>
        </is>
      </c>
      <c r="S50" s="69" t="inlineStr">
        <is>
          <t>[{"id": "1", "text": "提老人", "hint": "人心稳 · 技术条线会闷住", "result": "老人上任，科里风平浪静。那个年轻人第二年走了，去了宏远。三年后你在行业会上见到他，他管着宏远的整个技术条线。", "effects": {"morale": 6, "tech": -6, "rival": 8, "aff": {"zhou": 3}}}, {"id": "2", "text": "提年轻人", "hint": "能干活 · 老人会寒心", "result": "年轻人上任三个月就捅了两个娄子，也做成了三件老人十年没做成的事。那位老同志申请调去了后勤，走的时候什么也没说。", "effects": {"tech": 10, "smoke": -4, "morale": -7, "aff": {"zhou": -3}}}, {"id": "3", "text": "让两个人竞聘，全厂投票", "hint": "公开 · 但会摆到台面上", "result": "投票结果年轻人赢了三票。过程是公开的，谁也没话说，但那三票把厂里的分歧摆到了明面上。〔#zhou〕说：\"厂长，有些事不投票，是为了不让人记恨。\"", "effects": {"tech": 6, "morale": -2, "smoke": -2, "flag": "open_vote"}}]</t>
        </is>
      </c>
      <c r="T50" s="69" t="inlineStr">
        <is>
          <t>位子一直空着，两个人都在等。半年后其中一个提了辞职，另一个也再没提过什么想法。</t>
        </is>
      </c>
      <c r="U50" s="68" t="inlineStr"/>
    </row>
    <row r="51" ht="42" customHeight="1">
      <c r="A51" s="52" t="inlineStr">
        <is>
          <t>GF15_Y03_SUMMER_046</t>
        </is>
      </c>
      <c r="B51" s="67" t="inlineStr">
        <is>
          <t>〔陈工|小吴〕递上来一份技改方案</t>
        </is>
      </c>
      <c r="C51" s="53" t="inlineStr">
        <is>
          <t>第3年·夏季</t>
        </is>
      </c>
      <c r="D51" s="67" t="n">
        <v>100</v>
      </c>
      <c r="E51" s="53" t="inlineStr">
        <is>
          <t>是</t>
        </is>
      </c>
      <c r="F51" s="67" t="inlineStr">
        <is>
          <t>厂长，这是今年的技改方案。我按轻重缓急排了序，钱您看着定。哪一项都不白花，就是不知道哪一项最急。</t>
        </is>
      </c>
      <c r="G51" s="53" t="n">
        <v>0</v>
      </c>
      <c r="H51" s="53" t="n">
        <v>0</v>
      </c>
      <c r="I51" s="53" t="inlineStr"/>
      <c r="J51" s="53" t="n">
        <v>0</v>
      </c>
      <c r="K51" s="53" t="inlineStr"/>
      <c r="L51" s="67" t="inlineStr">
        <is>
          <t>否</t>
        </is>
      </c>
      <c r="M51" s="53" t="inlineStr">
        <is>
          <t>原版年度技改菜单，仅作为资料保留；按已确认规则不在当前游戏触发。</t>
        </is>
      </c>
      <c r="N51" s="68" t="inlineStr">
        <is>
          <t>year_story</t>
        </is>
      </c>
      <c r="O51" s="69" t="n">
        <v>3</v>
      </c>
      <c r="P51" s="69" t="inlineStr">
        <is>
          <t>夏</t>
        </is>
      </c>
      <c r="Q51" s="68" t="inlineStr">
        <is>
          <t>chen</t>
        </is>
      </c>
      <c r="R51" s="69" t="inlineStr">
        <is>
          <t>陈工</t>
        </is>
      </c>
      <c r="S51" s="69" t="inlineStr">
        <is>
          <t>[]</t>
        </is>
      </c>
      <c r="T51" s="69" t="inlineStr">
        <is>
          <t>方案压在你桌上一年，没批也没退。〔陈工|小吴〕后来自己把它收回去了，说等厂里宽裕了再提。</t>
        </is>
      </c>
      <c r="U51" s="68" t="inlineStr"/>
    </row>
    <row r="52" ht="42" customHeight="1">
      <c r="A52" s="52" t="inlineStr">
        <is>
          <t>GF15_Y04_SUMMER_047</t>
        </is>
      </c>
      <c r="B52" s="67" t="inlineStr">
        <is>
          <t>〔陈工|小吴〕递上来一份技改方案</t>
        </is>
      </c>
      <c r="C52" s="53" t="inlineStr">
        <is>
          <t>第4年·夏季</t>
        </is>
      </c>
      <c r="D52" s="67" t="n">
        <v>100</v>
      </c>
      <c r="E52" s="53" t="inlineStr">
        <is>
          <t>是</t>
        </is>
      </c>
      <c r="F52" s="67" t="inlineStr">
        <is>
          <t>厂长，这是今年的技改方案。我按轻重缓急排了序，钱您看着定。哪一项都不白花，就是不知道哪一项最急。</t>
        </is>
      </c>
      <c r="G52" s="53" t="n">
        <v>0</v>
      </c>
      <c r="H52" s="53" t="n">
        <v>0</v>
      </c>
      <c r="I52" s="53" t="inlineStr"/>
      <c r="J52" s="53" t="n">
        <v>0</v>
      </c>
      <c r="K52" s="53" t="inlineStr"/>
      <c r="L52" s="67" t="inlineStr">
        <is>
          <t>否</t>
        </is>
      </c>
      <c r="M52" s="53" t="inlineStr">
        <is>
          <t>原版年度技改菜单，仅作为资料保留；按已确认规则不在当前游戏触发。</t>
        </is>
      </c>
      <c r="N52" s="68" t="inlineStr">
        <is>
          <t>year_story</t>
        </is>
      </c>
      <c r="O52" s="69" t="n">
        <v>4</v>
      </c>
      <c r="P52" s="69" t="inlineStr">
        <is>
          <t>夏</t>
        </is>
      </c>
      <c r="Q52" s="68" t="inlineStr">
        <is>
          <t>chen</t>
        </is>
      </c>
      <c r="R52" s="69" t="inlineStr">
        <is>
          <t>陈工</t>
        </is>
      </c>
      <c r="S52" s="69" t="inlineStr">
        <is>
          <t>[]</t>
        </is>
      </c>
      <c r="T52" s="69" t="inlineStr">
        <is>
          <t>方案压在你桌上一年，没批也没退。〔陈工|小吴〕后来自己把它收回去了，说等厂里宽裕了再提。</t>
        </is>
      </c>
      <c r="U52" s="68" t="inlineStr"/>
    </row>
    <row r="53" ht="42" customHeight="1">
      <c r="A53" s="52" t="inlineStr">
        <is>
          <t>GF15_Y05_SUMMER_048</t>
        </is>
      </c>
      <c r="B53" s="67" t="inlineStr">
        <is>
          <t>〔陈工|小吴〕递上来一份技改方案</t>
        </is>
      </c>
      <c r="C53" s="53" t="inlineStr">
        <is>
          <t>第5年·夏季</t>
        </is>
      </c>
      <c r="D53" s="67" t="n">
        <v>100</v>
      </c>
      <c r="E53" s="53" t="inlineStr">
        <is>
          <t>是</t>
        </is>
      </c>
      <c r="F53" s="67" t="inlineStr">
        <is>
          <t>厂长，这是今年的技改方案。我按轻重缓急排了序，钱您看着定。哪一项都不白花，就是不知道哪一项最急。</t>
        </is>
      </c>
      <c r="G53" s="53" t="n">
        <v>0</v>
      </c>
      <c r="H53" s="53" t="n">
        <v>0</v>
      </c>
      <c r="I53" s="53" t="inlineStr"/>
      <c r="J53" s="53" t="n">
        <v>0</v>
      </c>
      <c r="K53" s="53" t="inlineStr"/>
      <c r="L53" s="67" t="inlineStr">
        <is>
          <t>否</t>
        </is>
      </c>
      <c r="M53" s="53" t="inlineStr">
        <is>
          <t>原版年度技改菜单，仅作为资料保留；按已确认规则不在当前游戏触发。</t>
        </is>
      </c>
      <c r="N53" s="68" t="inlineStr">
        <is>
          <t>year_story</t>
        </is>
      </c>
      <c r="O53" s="69" t="n">
        <v>5</v>
      </c>
      <c r="P53" s="69" t="inlineStr">
        <is>
          <t>夏</t>
        </is>
      </c>
      <c r="Q53" s="68" t="inlineStr">
        <is>
          <t>chen</t>
        </is>
      </c>
      <c r="R53" s="69" t="inlineStr">
        <is>
          <t>陈工</t>
        </is>
      </c>
      <c r="S53" s="69" t="inlineStr">
        <is>
          <t>[]</t>
        </is>
      </c>
      <c r="T53" s="69" t="inlineStr">
        <is>
          <t>方案压在你桌上一年，没批也没退。〔陈工|小吴〕后来自己把它收回去了，说等厂里宽裕了再提。</t>
        </is>
      </c>
      <c r="U53" s="68" t="inlineStr"/>
    </row>
    <row r="54" ht="42" customHeight="1">
      <c r="A54" s="52" t="inlineStr">
        <is>
          <t>GF15_Y06_SUMMER_049</t>
        </is>
      </c>
      <c r="B54" s="67" t="inlineStr">
        <is>
          <t>〔陈工|小吴〕递上来一份技改方案</t>
        </is>
      </c>
      <c r="C54" s="53" t="inlineStr">
        <is>
          <t>第6年·夏季</t>
        </is>
      </c>
      <c r="D54" s="67" t="n">
        <v>100</v>
      </c>
      <c r="E54" s="53" t="inlineStr">
        <is>
          <t>是</t>
        </is>
      </c>
      <c r="F54" s="67" t="inlineStr">
        <is>
          <t>厂长，这是今年的技改方案。我按轻重缓急排了序，钱您看着定。哪一项都不白花，就是不知道哪一项最急。</t>
        </is>
      </c>
      <c r="G54" s="53" t="n">
        <v>0</v>
      </c>
      <c r="H54" s="53" t="n">
        <v>0</v>
      </c>
      <c r="I54" s="53" t="inlineStr"/>
      <c r="J54" s="53" t="n">
        <v>0</v>
      </c>
      <c r="K54" s="53" t="inlineStr"/>
      <c r="L54" s="67" t="inlineStr">
        <is>
          <t>否</t>
        </is>
      </c>
      <c r="M54" s="53" t="inlineStr">
        <is>
          <t>原版年度技改菜单，仅作为资料保留；按已确认规则不在当前游戏触发。</t>
        </is>
      </c>
      <c r="N54" s="68" t="inlineStr">
        <is>
          <t>year_story</t>
        </is>
      </c>
      <c r="O54" s="69" t="n">
        <v>6</v>
      </c>
      <c r="P54" s="69" t="inlineStr">
        <is>
          <t>夏</t>
        </is>
      </c>
      <c r="Q54" s="68" t="inlineStr">
        <is>
          <t>chen</t>
        </is>
      </c>
      <c r="R54" s="69" t="inlineStr">
        <is>
          <t>陈工</t>
        </is>
      </c>
      <c r="S54" s="69" t="inlineStr">
        <is>
          <t>[]</t>
        </is>
      </c>
      <c r="T54" s="69" t="inlineStr">
        <is>
          <t>方案压在你桌上一年，没批也没退。〔陈工|小吴〕后来自己把它收回去了，说等厂里宽裕了再提。</t>
        </is>
      </c>
      <c r="U54" s="68" t="inlineStr"/>
    </row>
    <row r="55" ht="42" customHeight="1">
      <c r="A55" s="52" t="inlineStr">
        <is>
          <t>GF15_Y07_SUMMER_050</t>
        </is>
      </c>
      <c r="B55" s="67" t="inlineStr">
        <is>
          <t>〔陈工|小吴〕递上来一份技改方案</t>
        </is>
      </c>
      <c r="C55" s="53" t="inlineStr">
        <is>
          <t>第7年·夏季</t>
        </is>
      </c>
      <c r="D55" s="67" t="n">
        <v>100</v>
      </c>
      <c r="E55" s="53" t="inlineStr">
        <is>
          <t>是</t>
        </is>
      </c>
      <c r="F55" s="67" t="inlineStr">
        <is>
          <t>厂长，这是今年的技改方案。我按轻重缓急排了序，钱您看着定。哪一项都不白花，就是不知道哪一项最急。</t>
        </is>
      </c>
      <c r="G55" s="53" t="n">
        <v>0</v>
      </c>
      <c r="H55" s="53" t="n">
        <v>0</v>
      </c>
      <c r="I55" s="53" t="inlineStr"/>
      <c r="J55" s="53" t="n">
        <v>0</v>
      </c>
      <c r="K55" s="53" t="inlineStr"/>
      <c r="L55" s="67" t="inlineStr">
        <is>
          <t>否</t>
        </is>
      </c>
      <c r="M55" s="53" t="inlineStr">
        <is>
          <t>原版年度技改菜单，仅作为资料保留；按已确认规则不在当前游戏触发。</t>
        </is>
      </c>
      <c r="N55" s="68" t="inlineStr">
        <is>
          <t>year_story</t>
        </is>
      </c>
      <c r="O55" s="69" t="n">
        <v>7</v>
      </c>
      <c r="P55" s="69" t="inlineStr">
        <is>
          <t>夏</t>
        </is>
      </c>
      <c r="Q55" s="68" t="inlineStr">
        <is>
          <t>chen</t>
        </is>
      </c>
      <c r="R55" s="69" t="inlineStr">
        <is>
          <t>陈工</t>
        </is>
      </c>
      <c r="S55" s="69" t="inlineStr">
        <is>
          <t>[]</t>
        </is>
      </c>
      <c r="T55" s="69" t="inlineStr">
        <is>
          <t>方案压在你桌上一年，没批也没退。〔陈工|小吴〕后来自己把它收回去了，说等厂里宽裕了再提。</t>
        </is>
      </c>
      <c r="U55" s="68" t="inlineStr"/>
    </row>
    <row r="56" ht="42" customHeight="1">
      <c r="A56" s="52" t="inlineStr">
        <is>
          <t>GF15_Y08_SUMMER_051</t>
        </is>
      </c>
      <c r="B56" s="67" t="inlineStr">
        <is>
          <t>〔陈工|小吴〕递上来一份技改方案</t>
        </is>
      </c>
      <c r="C56" s="53" t="inlineStr">
        <is>
          <t>第8年·夏季</t>
        </is>
      </c>
      <c r="D56" s="67" t="n">
        <v>100</v>
      </c>
      <c r="E56" s="53" t="inlineStr">
        <is>
          <t>是</t>
        </is>
      </c>
      <c r="F56" s="67" t="inlineStr">
        <is>
          <t>厂长，这是今年的技改方案。我按轻重缓急排了序，钱您看着定。哪一项都不白花，就是不知道哪一项最急。</t>
        </is>
      </c>
      <c r="G56" s="53" t="n">
        <v>0</v>
      </c>
      <c r="H56" s="53" t="n">
        <v>0</v>
      </c>
      <c r="I56" s="53" t="inlineStr"/>
      <c r="J56" s="53" t="n">
        <v>0</v>
      </c>
      <c r="K56" s="53" t="inlineStr"/>
      <c r="L56" s="67" t="inlineStr">
        <is>
          <t>否</t>
        </is>
      </c>
      <c r="M56" s="53" t="inlineStr">
        <is>
          <t>原版年度技改菜单，仅作为资料保留；按已确认规则不在当前游戏触发。</t>
        </is>
      </c>
      <c r="N56" s="68" t="inlineStr">
        <is>
          <t>year_story</t>
        </is>
      </c>
      <c r="O56" s="69" t="n">
        <v>8</v>
      </c>
      <c r="P56" s="69" t="inlineStr">
        <is>
          <t>夏</t>
        </is>
      </c>
      <c r="Q56" s="68" t="inlineStr">
        <is>
          <t>chen</t>
        </is>
      </c>
      <c r="R56" s="69" t="inlineStr">
        <is>
          <t>陈工</t>
        </is>
      </c>
      <c r="S56" s="69" t="inlineStr">
        <is>
          <t>[]</t>
        </is>
      </c>
      <c r="T56" s="69" t="inlineStr">
        <is>
          <t>方案压在你桌上一年，没批也没退。〔陈工|小吴〕后来自己把它收回去了，说等厂里宽裕了再提。</t>
        </is>
      </c>
      <c r="U56" s="68" t="inlineStr"/>
    </row>
    <row r="57" ht="42" customHeight="1">
      <c r="A57" s="52" t="inlineStr">
        <is>
          <t>GF15_Y09_SUMMER_052</t>
        </is>
      </c>
      <c r="B57" s="67" t="inlineStr">
        <is>
          <t>〔陈工|小吴〕递上来一份技改方案</t>
        </is>
      </c>
      <c r="C57" s="53" t="inlineStr">
        <is>
          <t>第9年·夏季</t>
        </is>
      </c>
      <c r="D57" s="67" t="n">
        <v>100</v>
      </c>
      <c r="E57" s="53" t="inlineStr">
        <is>
          <t>是</t>
        </is>
      </c>
      <c r="F57" s="67" t="inlineStr">
        <is>
          <t>厂长，这是今年的技改方案。我按轻重缓急排了序，钱您看着定。哪一项都不白花，就是不知道哪一项最急。</t>
        </is>
      </c>
      <c r="G57" s="53" t="n">
        <v>0</v>
      </c>
      <c r="H57" s="53" t="n">
        <v>0</v>
      </c>
      <c r="I57" s="53" t="inlineStr"/>
      <c r="J57" s="53" t="n">
        <v>0</v>
      </c>
      <c r="K57" s="53" t="inlineStr"/>
      <c r="L57" s="67" t="inlineStr">
        <is>
          <t>否</t>
        </is>
      </c>
      <c r="M57" s="53" t="inlineStr">
        <is>
          <t>原版年度技改菜单，仅作为资料保留；按已确认规则不在当前游戏触发。</t>
        </is>
      </c>
      <c r="N57" s="68" t="inlineStr">
        <is>
          <t>year_story</t>
        </is>
      </c>
      <c r="O57" s="69" t="n">
        <v>9</v>
      </c>
      <c r="P57" s="69" t="inlineStr">
        <is>
          <t>夏</t>
        </is>
      </c>
      <c r="Q57" s="68" t="inlineStr">
        <is>
          <t>chen</t>
        </is>
      </c>
      <c r="R57" s="69" t="inlineStr">
        <is>
          <t>陈工</t>
        </is>
      </c>
      <c r="S57" s="69" t="inlineStr">
        <is>
          <t>[]</t>
        </is>
      </c>
      <c r="T57" s="69" t="inlineStr">
        <is>
          <t>方案压在你桌上一年，没批也没退。〔陈工|小吴〕后来自己把它收回去了，说等厂里宽裕了再提。</t>
        </is>
      </c>
      <c r="U57" s="68" t="inlineStr"/>
    </row>
    <row r="58" ht="42" customHeight="1">
      <c r="A58" s="52" t="inlineStr">
        <is>
          <t>GF15_Y10_SUMMER_053</t>
        </is>
      </c>
      <c r="B58" s="67" t="inlineStr">
        <is>
          <t>〔陈工|小吴〕递上来一份技改方案</t>
        </is>
      </c>
      <c r="C58" s="53" t="inlineStr">
        <is>
          <t>第10年·夏季</t>
        </is>
      </c>
      <c r="D58" s="67" t="n">
        <v>100</v>
      </c>
      <c r="E58" s="53" t="inlineStr">
        <is>
          <t>是</t>
        </is>
      </c>
      <c r="F58" s="67" t="inlineStr">
        <is>
          <t>厂长，这是今年的技改方案。我按轻重缓急排了序，钱您看着定。哪一项都不白花，就是不知道哪一项最急。</t>
        </is>
      </c>
      <c r="G58" s="53" t="n">
        <v>0</v>
      </c>
      <c r="H58" s="53" t="n">
        <v>0</v>
      </c>
      <c r="I58" s="53" t="inlineStr"/>
      <c r="J58" s="53" t="n">
        <v>0</v>
      </c>
      <c r="K58" s="53" t="inlineStr"/>
      <c r="L58" s="67" t="inlineStr">
        <is>
          <t>否</t>
        </is>
      </c>
      <c r="M58" s="53" t="inlineStr">
        <is>
          <t>原版年度技改菜单，仅作为资料保留；按已确认规则不在当前游戏触发。</t>
        </is>
      </c>
      <c r="N58" s="68" t="inlineStr">
        <is>
          <t>year_story</t>
        </is>
      </c>
      <c r="O58" s="69" t="n">
        <v>10</v>
      </c>
      <c r="P58" s="69" t="inlineStr">
        <is>
          <t>夏</t>
        </is>
      </c>
      <c r="Q58" s="68" t="inlineStr">
        <is>
          <t>chen</t>
        </is>
      </c>
      <c r="R58" s="69" t="inlineStr">
        <is>
          <t>陈工</t>
        </is>
      </c>
      <c r="S58" s="69" t="inlineStr">
        <is>
          <t>[]</t>
        </is>
      </c>
      <c r="T58" s="69" t="inlineStr">
        <is>
          <t>方案压在你桌上一年，没批也没退。〔陈工|小吴〕后来自己把它收回去了，说等厂里宽裕了再提。</t>
        </is>
      </c>
      <c r="U58" s="68" t="inlineStr"/>
    </row>
    <row r="59" ht="42" customHeight="1">
      <c r="A59" s="52" t="inlineStr">
        <is>
          <t>GF15_Y11_SUMMER_054</t>
        </is>
      </c>
      <c r="B59" s="67" t="inlineStr">
        <is>
          <t>〔陈工|小吴〕递上来一份技改方案</t>
        </is>
      </c>
      <c r="C59" s="53" t="inlineStr">
        <is>
          <t>第11年·夏季</t>
        </is>
      </c>
      <c r="D59" s="67" t="n">
        <v>100</v>
      </c>
      <c r="E59" s="53" t="inlineStr">
        <is>
          <t>是</t>
        </is>
      </c>
      <c r="F59" s="67" t="inlineStr">
        <is>
          <t>厂长，这是今年的技改方案。我按轻重缓急排了序，钱您看着定。哪一项都不白花，就是不知道哪一项最急。</t>
        </is>
      </c>
      <c r="G59" s="53" t="n">
        <v>0</v>
      </c>
      <c r="H59" s="53" t="n">
        <v>0</v>
      </c>
      <c r="I59" s="53" t="inlineStr"/>
      <c r="J59" s="53" t="n">
        <v>0</v>
      </c>
      <c r="K59" s="53" t="inlineStr"/>
      <c r="L59" s="67" t="inlineStr">
        <is>
          <t>否</t>
        </is>
      </c>
      <c r="M59" s="53" t="inlineStr">
        <is>
          <t>原版年度技改菜单，仅作为资料保留；按已确认规则不在当前游戏触发。</t>
        </is>
      </c>
      <c r="N59" s="68" t="inlineStr">
        <is>
          <t>year_story</t>
        </is>
      </c>
      <c r="O59" s="69" t="n">
        <v>11</v>
      </c>
      <c r="P59" s="69" t="inlineStr">
        <is>
          <t>夏</t>
        </is>
      </c>
      <c r="Q59" s="68" t="inlineStr">
        <is>
          <t>chen</t>
        </is>
      </c>
      <c r="R59" s="69" t="inlineStr">
        <is>
          <t>陈工</t>
        </is>
      </c>
      <c r="S59" s="69" t="inlineStr">
        <is>
          <t>[]</t>
        </is>
      </c>
      <c r="T59" s="69" t="inlineStr">
        <is>
          <t>方案压在你桌上一年，没批也没退。〔陈工|小吴〕后来自己把它收回去了，说等厂里宽裕了再提。</t>
        </is>
      </c>
      <c r="U59" s="68" t="inlineStr"/>
    </row>
    <row r="60" ht="42" customHeight="1">
      <c r="A60" s="52" t="inlineStr">
        <is>
          <t>GF15_Y12_SUMMER_055</t>
        </is>
      </c>
      <c r="B60" s="67" t="inlineStr">
        <is>
          <t>〔陈工|小吴〕递上来一份技改方案</t>
        </is>
      </c>
      <c r="C60" s="53" t="inlineStr">
        <is>
          <t>第12年·夏季</t>
        </is>
      </c>
      <c r="D60" s="67" t="n">
        <v>100</v>
      </c>
      <c r="E60" s="53" t="inlineStr">
        <is>
          <t>是</t>
        </is>
      </c>
      <c r="F60" s="67" t="inlineStr">
        <is>
          <t>厂长，这是今年的技改方案。我按轻重缓急排了序，钱您看着定。哪一项都不白花，就是不知道哪一项最急。</t>
        </is>
      </c>
      <c r="G60" s="53" t="n">
        <v>0</v>
      </c>
      <c r="H60" s="53" t="n">
        <v>0</v>
      </c>
      <c r="I60" s="53" t="inlineStr"/>
      <c r="J60" s="53" t="n">
        <v>0</v>
      </c>
      <c r="K60" s="53" t="inlineStr"/>
      <c r="L60" s="67" t="inlineStr">
        <is>
          <t>否</t>
        </is>
      </c>
      <c r="M60" s="53" t="inlineStr">
        <is>
          <t>原版年度技改菜单，仅作为资料保留；按已确认规则不在当前游戏触发。</t>
        </is>
      </c>
      <c r="N60" s="68" t="inlineStr">
        <is>
          <t>year_story</t>
        </is>
      </c>
      <c r="O60" s="69" t="n">
        <v>12</v>
      </c>
      <c r="P60" s="69" t="inlineStr">
        <is>
          <t>夏</t>
        </is>
      </c>
      <c r="Q60" s="68" t="inlineStr">
        <is>
          <t>chen</t>
        </is>
      </c>
      <c r="R60" s="69" t="inlineStr">
        <is>
          <t>陈工</t>
        </is>
      </c>
      <c r="S60" s="69" t="inlineStr">
        <is>
          <t>[]</t>
        </is>
      </c>
      <c r="T60" s="69" t="inlineStr">
        <is>
          <t>方案压在你桌上一年，没批也没退。〔陈工|小吴〕后来自己把它收回去了，说等厂里宽裕了再提。</t>
        </is>
      </c>
      <c r="U60" s="68" t="inlineStr"/>
    </row>
    <row r="61" ht="42" customHeight="1">
      <c r="A61" s="52" t="inlineStr">
        <is>
          <t>GF15_Y13_SUMMER_056</t>
        </is>
      </c>
      <c r="B61" s="67" t="inlineStr">
        <is>
          <t>〔陈工|小吴〕递上来一份技改方案</t>
        </is>
      </c>
      <c r="C61" s="53" t="inlineStr">
        <is>
          <t>第13年·夏季</t>
        </is>
      </c>
      <c r="D61" s="67" t="n">
        <v>100</v>
      </c>
      <c r="E61" s="53" t="inlineStr">
        <is>
          <t>是</t>
        </is>
      </c>
      <c r="F61" s="67" t="inlineStr">
        <is>
          <t>厂长，这是今年的技改方案。我按轻重缓急排了序，钱您看着定。哪一项都不白花，就是不知道哪一项最急。</t>
        </is>
      </c>
      <c r="G61" s="53" t="n">
        <v>0</v>
      </c>
      <c r="H61" s="53" t="n">
        <v>0</v>
      </c>
      <c r="I61" s="53" t="inlineStr"/>
      <c r="J61" s="53" t="n">
        <v>0</v>
      </c>
      <c r="K61" s="53" t="inlineStr"/>
      <c r="L61" s="67" t="inlineStr">
        <is>
          <t>否</t>
        </is>
      </c>
      <c r="M61" s="53" t="inlineStr">
        <is>
          <t>原版年度技改菜单，仅作为资料保留；按已确认规则不在当前游戏触发。</t>
        </is>
      </c>
      <c r="N61" s="68" t="inlineStr">
        <is>
          <t>year_story</t>
        </is>
      </c>
      <c r="O61" s="69" t="n">
        <v>13</v>
      </c>
      <c r="P61" s="69" t="inlineStr">
        <is>
          <t>夏</t>
        </is>
      </c>
      <c r="Q61" s="68" t="inlineStr">
        <is>
          <t>chen</t>
        </is>
      </c>
      <c r="R61" s="69" t="inlineStr">
        <is>
          <t>陈工</t>
        </is>
      </c>
      <c r="S61" s="69" t="inlineStr">
        <is>
          <t>[]</t>
        </is>
      </c>
      <c r="T61" s="69" t="inlineStr">
        <is>
          <t>方案压在你桌上一年，没批也没退。〔陈工|小吴〕后来自己把它收回去了，说等厂里宽裕了再提。</t>
        </is>
      </c>
      <c r="U61" s="68" t="inlineStr"/>
    </row>
    <row r="62" ht="42" customHeight="1">
      <c r="A62" s="52" t="inlineStr">
        <is>
          <t>GF15_Y14_SUMMER_057</t>
        </is>
      </c>
      <c r="B62" s="67" t="inlineStr">
        <is>
          <t>〔陈工|小吴〕递上来一份技改方案</t>
        </is>
      </c>
      <c r="C62" s="53" t="inlineStr">
        <is>
          <t>第14年·夏季</t>
        </is>
      </c>
      <c r="D62" s="67" t="n">
        <v>100</v>
      </c>
      <c r="E62" s="53" t="inlineStr">
        <is>
          <t>是</t>
        </is>
      </c>
      <c r="F62" s="67" t="inlineStr">
        <is>
          <t>厂长，这是今年的技改方案。我按轻重缓急排了序，钱您看着定。哪一项都不白花，就是不知道哪一项最急。</t>
        </is>
      </c>
      <c r="G62" s="53" t="n">
        <v>0</v>
      </c>
      <c r="H62" s="53" t="n">
        <v>0</v>
      </c>
      <c r="I62" s="53" t="inlineStr"/>
      <c r="J62" s="53" t="n">
        <v>0</v>
      </c>
      <c r="K62" s="53" t="inlineStr"/>
      <c r="L62" s="67" t="inlineStr">
        <is>
          <t>否</t>
        </is>
      </c>
      <c r="M62" s="53" t="inlineStr">
        <is>
          <t>原版年度技改菜单，仅作为资料保留；按已确认规则不在当前游戏触发。</t>
        </is>
      </c>
      <c r="N62" s="68" t="inlineStr">
        <is>
          <t>year_story</t>
        </is>
      </c>
      <c r="O62" s="69" t="n">
        <v>14</v>
      </c>
      <c r="P62" s="69" t="inlineStr">
        <is>
          <t>夏</t>
        </is>
      </c>
      <c r="Q62" s="68" t="inlineStr">
        <is>
          <t>chen</t>
        </is>
      </c>
      <c r="R62" s="69" t="inlineStr">
        <is>
          <t>陈工</t>
        </is>
      </c>
      <c r="S62" s="69" t="inlineStr">
        <is>
          <t>[]</t>
        </is>
      </c>
      <c r="T62" s="69" t="inlineStr">
        <is>
          <t>方案压在你桌上一年，没批也没退。〔陈工|小吴〕后来自己把它收回去了，说等厂里宽裕了再提。</t>
        </is>
      </c>
      <c r="U62" s="68" t="inlineStr"/>
    </row>
    <row r="63" ht="42" customHeight="1">
      <c r="A63" s="52" t="inlineStr">
        <is>
          <t>GF15_Y08_SUMMER_058</t>
        </is>
      </c>
      <c r="B63" s="67" t="inlineStr">
        <is>
          <t>副厂长的位子还空着</t>
        </is>
      </c>
      <c r="C63" s="53" t="inlineStr">
        <is>
          <t>第8年·夏季</t>
        </is>
      </c>
      <c r="D63" s="67" t="n">
        <v>100</v>
      </c>
      <c r="E63" s="53" t="inlineStr">
        <is>
          <t>是</t>
        </is>
      </c>
      <c r="F63" s="67" t="inlineStr">
        <is>
          <t>厂长，副厂长这个位子空了五年了。小刘现在能顶半个班，集团那边也可以派人下来。再拖下去，底下的人不知道该听谁的。</t>
        </is>
      </c>
      <c r="G63" s="53" t="n">
        <v>0</v>
      </c>
      <c r="H63" s="53" t="n">
        <v>0</v>
      </c>
      <c r="I63" s="53" t="inlineStr"/>
      <c r="J63" s="53" t="n">
        <v>0</v>
      </c>
      <c r="K63" s="53" t="inlineStr"/>
      <c r="L63" s="67" t="inlineStr">
        <is>
          <t>是</t>
        </is>
      </c>
      <c r="M63" s="53" t="inlineStr">
        <is>
          <t>源自 green-factory-15-years 厂长路线；原版条件事件已保留条件文本，当前按年份与季节抽取。</t>
        </is>
      </c>
      <c r="N63" s="68" t="inlineStr">
        <is>
          <t>year_story</t>
        </is>
      </c>
      <c r="O63" s="69" t="n">
        <v>8</v>
      </c>
      <c r="P63" s="69" t="inlineStr">
        <is>
          <t>夏</t>
        </is>
      </c>
      <c r="Q63" s="68" t="inlineStr">
        <is>
          <t>zhao</t>
        </is>
      </c>
      <c r="R63" s="69" t="inlineStr">
        <is>
          <t>老赵</t>
        </is>
      </c>
      <c r="S63" s="69" t="inlineStr">
        <is>
          <t>[{"id": "1", "text": "提小刘", "hint": "自己人 · 他还嫩", "result": "小刘上任那天，老周在食堂多喝了两杯。他确实还嫩，头一年出过两次差错，但三年后他能独当一面了。从此有些事你终于可以放手。", "effects": {"morale": 6, "orders": -2, "aff": {"zhou": 4}, "flag": "vp_zhou"}}, {"id": "2", "text": "请集团派一个下来", "hint": "快 · 但他向集团负责", "result": "集团派来的人很能干，也很清楚自己该向谁汇报。厂里的事从此有两个人在管，有些话你不方便当着他说了——但精力确实腾出来了。", "effects": {"group": 6, "morale": -3, "tech": 5, "flag": "vp_out"}}]</t>
        </is>
      </c>
      <c r="T63" s="69" t="inlineStr">
        <is>
          <t>位子继续空着。你一个人扛到底，第十年开始发现自己在会上讲的每句话都要重复三遍。</t>
        </is>
      </c>
      <c r="U63" s="68" t="inlineStr">
        <is>
          <t>function(s){ return !s.flag.vp_zhou &amp;&amp; !s.flag.vp_out; }</t>
        </is>
      </c>
    </row>
    <row r="64" ht="42" customHeight="1">
      <c r="A64" s="52" t="inlineStr">
        <is>
          <t>GF15_Y06_SUMMER_059</t>
        </is>
      </c>
      <c r="B64" s="67" t="inlineStr">
        <is>
          <t>招个厂长助理</t>
        </is>
      </c>
      <c r="C64" s="53" t="inlineStr">
        <is>
          <t>第6年·夏季</t>
        </is>
      </c>
      <c r="D64" s="67" t="n">
        <v>100</v>
      </c>
      <c r="E64" s="53" t="inlineStr">
        <is>
          <t>是</t>
        </is>
      </c>
      <c r="F64" s="67" t="inlineStr">
        <is>
          <t>厂长，您一个人签的字比三个副厂长加起来还多。招个助理吧，一年三十万，帮您跑会、盯进度、整材料。</t>
        </is>
      </c>
      <c r="G64" s="53" t="n">
        <v>0</v>
      </c>
      <c r="H64" s="53" t="n">
        <v>0</v>
      </c>
      <c r="I64" s="53" t="inlineStr"/>
      <c r="J64" s="53" t="n">
        <v>0</v>
      </c>
      <c r="K64" s="53" t="inlineStr"/>
      <c r="L64" s="67" t="inlineStr">
        <is>
          <t>是</t>
        </is>
      </c>
      <c r="M64" s="53" t="inlineStr">
        <is>
          <t>源自 green-factory-15-years 厂长路线；原版条件事件已保留条件文本，当前按年份与季节抽取。</t>
        </is>
      </c>
      <c r="N64" s="68" t="inlineStr">
        <is>
          <t>year_story</t>
        </is>
      </c>
      <c r="O64" s="69" t="n">
        <v>6</v>
      </c>
      <c r="P64" s="69" t="inlineStr">
        <is>
          <t>夏</t>
        </is>
      </c>
      <c r="Q64" s="68" t="inlineStr">
        <is>
          <t>zhao</t>
        </is>
      </c>
      <c r="R64" s="69" t="inlineStr">
        <is>
          <t>老赵</t>
        </is>
      </c>
      <c r="S64" s="69" t="inlineStr">
        <is>
          <t>[{"id": "1", "text": "招", "hint": "花 28 万/年 · 每年多一份精力", "result": "助理来的第一个月就把你桌上积了半年的材料清空了。往后每年你能多办一件事——这笔钱，是这些年花得最不显眼也最值的一笔。", "effects": {"money": -28, "flag": "assistant"}}, {"id": "2", "text": "不招，我自己来", "hint": "省钱 · 也省不下多少", "result": "你继续一个人扛。省下的那笔钱，大概相当于每年少办一件事的代价——只是这笔账，没有人会替你算。", "effects": {"money": 12}}]</t>
        </is>
      </c>
      <c r="T64" s="69" t="inlineStr">
        <is>
          <t>招人的事一直没定。那些本该有人替你跑的会、写的材料、盯的进度，还是你自己在做。</t>
        </is>
      </c>
      <c r="U64" s="68" t="inlineStr"/>
    </row>
    <row r="65" ht="42" customHeight="1">
      <c r="A65" s="52" t="inlineStr">
        <is>
          <t>GF15_Y05_SUMMER_060</t>
        </is>
      </c>
      <c r="B65" s="67" t="inlineStr">
        <is>
          <t>宏远在客户那儿说我们坏话</t>
        </is>
      </c>
      <c r="C65" s="53" t="inlineStr">
        <is>
          <t>第5年·夏季</t>
        </is>
      </c>
      <c r="D65" s="67" t="n">
        <v>100</v>
      </c>
      <c r="E65" s="53" t="inlineStr">
        <is>
          <t>是</t>
        </is>
      </c>
      <c r="F65" s="67" t="inlineStr">
        <is>
          <t>宏远的销售在客户那儿说，我们的环保手续有问题、随时可能被停产。客户昨天专门来问了我。厂长，这话不好听，但也不全是假的。</t>
        </is>
      </c>
      <c r="G65" s="53" t="n">
        <v>0</v>
      </c>
      <c r="H65" s="53" t="n">
        <v>0</v>
      </c>
      <c r="I65" s="53" t="inlineStr"/>
      <c r="J65" s="53" t="n">
        <v>0</v>
      </c>
      <c r="K65" s="53" t="inlineStr"/>
      <c r="L65" s="67" t="inlineStr">
        <is>
          <t>是</t>
        </is>
      </c>
      <c r="M65" s="53" t="inlineStr">
        <is>
          <t>源自 green-factory-15-years 厂长路线；原版条件事件已保留条件文本，当前按年份与季节抽取。</t>
        </is>
      </c>
      <c r="N65" s="68" t="inlineStr">
        <is>
          <t>year_story</t>
        </is>
      </c>
      <c r="O65" s="69" t="n">
        <v>5</v>
      </c>
      <c r="P65" s="69" t="inlineStr">
        <is>
          <t>夏</t>
        </is>
      </c>
      <c r="Q65" s="68" t="inlineStr">
        <is>
          <t>lin</t>
        </is>
      </c>
      <c r="R65" s="69" t="inlineStr">
        <is>
          <t>林薇</t>
        </is>
      </c>
      <c r="S65" s="69" t="inlineStr">
        <is>
          <t>[{"id": "1", "text": "把手续和台账全部摆给客户看", "hint": "要经得起看", "result": "你把排污许可证、监测报告、整改记录装订成册寄了过去。客户的采购看完打了个电话：\"贵司比传言里干净得多。\"那一年他们加了两成的量，宏远的销售被换掉了。", "effects": {"orders": 12, "fame": 6, "rival": -10}}, {"id": "2", "text": "请客户来厂里走一趟", "hint": "花 8 万 接待 · 眼见为实", "result": "客户来了半天，车间转了一圈。回去后没再提这事，但也没加量。有些疑虑消除不了，只能稀释。", "effects": {"money": -8, "orders": 3, "fame": 2}}, {"id": "3", "text": "也去说他们两句", "hint": "互泼脏水", "result": "两家的销售在客户那儿吵起来，客户嫌烦，把这一档的份额分给了第三家。林薇后来说：\"那次是我这些年最丢人的一场仗。\"", "effects": {"orders": -8, "fame": -5, "rival": -4, "aff": {"lin": -3}}}]</t>
        </is>
      </c>
      <c r="T65" s="69" t="inlineStr">
        <is>
          <t>你没有回应。那家客户后来把份额调走了三成，理由是"综合考量"。有些话不解释，就成了事实。</t>
        </is>
      </c>
      <c r="U65" s="68" t="inlineStr"/>
    </row>
    <row r="66" ht="42" customHeight="1">
      <c r="A66" s="52" t="inlineStr">
        <is>
          <t>GF15_Y10_SUMMER_061</t>
        </is>
      </c>
      <c r="B66" s="67" t="inlineStr">
        <is>
          <t>宏远来谈合并</t>
        </is>
      </c>
      <c r="C66" s="53" t="inlineStr">
        <is>
          <t>第10年·夏季</t>
        </is>
      </c>
      <c r="D66" s="67" t="n">
        <v>100</v>
      </c>
      <c r="E66" s="53" t="inlineStr">
        <is>
          <t>是</t>
        </is>
      </c>
      <c r="F66" s="67" t="inlineStr">
        <is>
          <t>宏远的董事长托人来问，愿不愿意谈合并。他们出钱，你们出产能和资质，合并后你做副总。厂子还在，但名字要换。</t>
        </is>
      </c>
      <c r="G66" s="53" t="n">
        <v>0</v>
      </c>
      <c r="H66" s="53" t="n">
        <v>0</v>
      </c>
      <c r="I66" s="53" t="inlineStr"/>
      <c r="J66" s="53" t="n">
        <v>0</v>
      </c>
      <c r="K66" s="53" t="inlineStr"/>
      <c r="L66" s="67" t="inlineStr">
        <is>
          <t>是</t>
        </is>
      </c>
      <c r="M66" s="53" t="inlineStr">
        <is>
          <t>源自 green-factory-15-years 厂长路线；原版条件事件已保留条件文本，当前按年份与季节抽取。</t>
        </is>
      </c>
      <c r="N66" s="68" t="inlineStr">
        <is>
          <t>year_story</t>
        </is>
      </c>
      <c r="O66" s="69" t="n">
        <v>10</v>
      </c>
      <c r="P66" s="69" t="inlineStr">
        <is>
          <t>夏</t>
        </is>
      </c>
      <c r="Q66" s="68" t="inlineStr">
        <is>
          <t>zhao</t>
        </is>
      </c>
      <c r="R66" s="69" t="inlineStr">
        <is>
          <t>老赵</t>
        </is>
      </c>
      <c r="S66" s="69" t="inlineStr">
        <is>
          <t>[{"id": "1", "text": "谈，把厂子并进去", "hint": "提前上岸 · 但故事到此为止", "result": "谈了三个月，条件不错。签字那天你在会议室外站了很久，想起十年前第一次走进这个厂门的下午。", "effects": {"money": 90, "flag": "merged"}}, {"id": "2", "text": "不谈", "hint": "硬扛 · 他们会更用力", "result": "你回绝得很干脆。那之后宏远在每一个客户、每一次招标上都咬着你。压力大了，但厂里的人反而拧成了一股绳——〔#zhou〕说：\"咱们厂长没卖我们。\"", "effects": {"morale": 8, "rival": 8, "orders": -4, "flag": "refused_merge"}}, {"id": "3", "text": "反过来问他们卖不卖", "hint": "虚张声势 · 也可能真成", "result": "对方愣了几秒，笑了，说回去问问。这事没成，但从那以后，行业里再没人把你们当成随时能被吃掉的那一家。", "effects": {"fame": 6, "group": 4, "rival": -6}}]</t>
        </is>
      </c>
      <c r="T66" s="69" t="inlineStr">
        <is>
          <t>你没回话。三个月后他们收购了另一家同行，产能一下超过你们一倍。行业里从此只有"宏远和其他"。</t>
        </is>
      </c>
      <c r="U66" s="68" t="inlineStr"/>
    </row>
    <row r="67" ht="42" customHeight="1">
      <c r="A67" s="52" t="inlineStr">
        <is>
          <t>GF15_Y04_SUMMER_062</t>
        </is>
      </c>
      <c r="B67" s="67" t="inlineStr">
        <is>
          <t>有个工伤要处理</t>
        </is>
      </c>
      <c r="C67" s="53" t="inlineStr">
        <is>
          <t>第4年·夏季</t>
        </is>
      </c>
      <c r="D67" s="67" t="n">
        <v>100</v>
      </c>
      <c r="E67" s="53" t="inlineStr">
        <is>
          <t>是</t>
        </is>
      </c>
      <c r="F67" s="67" t="inlineStr">
        <is>
          <t>厂长，二车间小张昨天让机器压了手，三根指头。按规矩该走工伤，但那台机器的防护罩三个月前就坏了，一直没换。这事怎么说，您定。</t>
        </is>
      </c>
      <c r="G67" s="53" t="n">
        <v>0</v>
      </c>
      <c r="H67" s="53" t="n">
        <v>0</v>
      </c>
      <c r="I67" s="53" t="inlineStr"/>
      <c r="J67" s="53" t="n">
        <v>0</v>
      </c>
      <c r="K67" s="53" t="inlineStr"/>
      <c r="L67" s="67" t="inlineStr">
        <is>
          <t>是</t>
        </is>
      </c>
      <c r="M67" s="53" t="inlineStr">
        <is>
          <t>源自 green-factory-15-years 厂长路线；原版条件事件已保留条件文本，当前按年份与季节抽取。</t>
        </is>
      </c>
      <c r="N67" s="68" t="inlineStr">
        <is>
          <t>year_story</t>
        </is>
      </c>
      <c r="O67" s="69" t="n">
        <v>4</v>
      </c>
      <c r="P67" s="69" t="inlineStr">
        <is>
          <t>夏</t>
        </is>
      </c>
      <c r="Q67" s="68" t="inlineStr">
        <is>
          <t>zhou</t>
        </is>
      </c>
      <c r="R67" s="69" t="inlineStr">
        <is>
          <t>老周</t>
        </is>
      </c>
      <c r="S67" s="69" t="inlineStr">
        <is>
          <t>[{"id": "1", "text": "如实上报，该赔赔，该整改整改", "hint": "花 28 万 · 会被处罚", "result": "工伤认定、安监罚款、全厂设备排查，一样没落。老周带人把所有防护罩换了一遍。厂里从此有了个规矩：安全隐患上报当天必须闭环。这规矩后来救过至少两个人。", "effects": {"money": -28, "fame": -3, "morale": 9, "risk": -1, "aff": {"zhou": 5}, "flag": "safety"}}, {"id": "2", "text": "私下和解，别报了", "hint": "花 18 万 · 省事", "result": "家属拿了钱，字签了，事情压了下来。车间里没人再提这件事，但也没人再相信\"有问题及时报\"这句话。往后两年，小毛病都是自己扛着不说。", "effects": {"money": -18, "morale": -8, "risk": 2, "aff": {"zhou": -4}, "flag": "hidden_injury"}}, {"id": "3", "text": "按规矩办，但先追责班组", "hint": "严 · 但人心散", "result": "班长被处分，赔偿按最低标准给。程序上无可挑剔。老周只说了一句：\"厂长，防护罩坏了三个月，是我没盯住，不是他。\"从那以后他再没替谁说过话。", "effects": {"money": -22, "morale": -11, "aff": {"zhou": -6}}}]</t>
        </is>
      </c>
      <c r="T67" s="69" t="inlineStr">
        <is>
          <t>处理拖了两个月，家属堵了厂门。最后赔的钱比一开始谈的多了一倍，还上了本地新闻。</t>
        </is>
      </c>
      <c r="U67" s="68" t="inlineStr"/>
    </row>
    <row r="68" ht="42" customHeight="1">
      <c r="A68" s="52" t="inlineStr">
        <is>
          <t>GF15_Y12_SUMMER_063</t>
        </is>
      </c>
      <c r="B68" s="67" t="inlineStr">
        <is>
          <t>集团内部两派要你站队</t>
        </is>
      </c>
      <c r="C68" s="53" t="inlineStr">
        <is>
          <t>第12年·夏季</t>
        </is>
      </c>
      <c r="D68" s="67" t="n">
        <v>100</v>
      </c>
      <c r="E68" s="53" t="inlineStr">
        <is>
          <t>是</t>
        </is>
      </c>
      <c r="F68" s="67" t="inlineStr">
        <is>
          <t>集团在争一个方案：一派要把下属厂整合成事业部，一派要各厂保持独立核算。两边都来找过你了。你怎么表态，他们都记着。</t>
        </is>
      </c>
      <c r="G68" s="53" t="n">
        <v>0</v>
      </c>
      <c r="H68" s="53" t="n">
        <v>0</v>
      </c>
      <c r="I68" s="53" t="inlineStr"/>
      <c r="J68" s="53" t="n">
        <v>0</v>
      </c>
      <c r="K68" s="53" t="inlineStr"/>
      <c r="L68" s="67" t="inlineStr">
        <is>
          <t>是</t>
        </is>
      </c>
      <c r="M68" s="53" t="inlineStr">
        <is>
          <t>源自 green-factory-15-years 厂长路线；原版条件事件已保留条件文本，当前按年份与季节抽取。</t>
        </is>
      </c>
      <c r="N68" s="68" t="inlineStr">
        <is>
          <t>year_story</t>
        </is>
      </c>
      <c r="O68" s="69" t="n">
        <v>12</v>
      </c>
      <c r="P68" s="69" t="inlineStr">
        <is>
          <t>夏</t>
        </is>
      </c>
      <c r="Q68" s="68" t="inlineStr">
        <is>
          <t>ma</t>
        </is>
      </c>
      <c r="R68" s="69" t="inlineStr">
        <is>
          <t>马副总</t>
        </is>
      </c>
      <c r="S68" s="69" t="inlineStr">
        <is>
          <t>[{"id": "1", "text": "支持整合", "hint": "顺势 · 但会失去自主权", "result": "方案通过了，你成了事业部下面的一个生产基地。资源多了，技改预算不用自己争了，但从此立项要报三级。有些事你再也做不了主。", "effects": {"group": 12, "money": 42, "tech": -4, "flag": "integrated"}}, {"id": "2", "text": "支持独立核算", "hint": "保住自主 · 得罪另一派", "result": "独立核算保住了。你可以继续自己拍板，代价是那一派掌权之后，你的名字在几份名单上都排在后面。老赵说：\"厂长，您这是拿前程换了拍板权。\"", "effects": {"group": -10, "morale": 4, "flag": "independent"}}, {"id": "3", "text": "谁也不得罪，说都有道理", "hint": "安全 · 但两边都不把你当自己人", "result": "你打了太极。方案定下来之后，你既没被整合掉，也没进核心圈。往后几年，凡是需要集团出面的事，你总要多等一轮。", "effects": {"group": -4, "money": -10}}]</t>
        </is>
      </c>
      <c r="T68" s="69" t="inlineStr">
        <is>
          <t>你两边都没表态。方案通过后，新体系里你们厂被划进了"待整合"那一类——不是惩罚，只是没人替你说话。</t>
        </is>
      </c>
      <c r="U68" s="68" t="inlineStr"/>
    </row>
    <row r="69" ht="42" customHeight="1">
      <c r="A69" s="52" t="inlineStr">
        <is>
          <t>GF15_Y05_SUMMER_064</t>
        </is>
      </c>
      <c r="B69" s="67" t="inlineStr">
        <is>
          <t>老赵又问了一次</t>
        </is>
      </c>
      <c r="C69" s="53" t="inlineStr">
        <is>
          <t>第5年·夏季</t>
        </is>
      </c>
      <c r="D69" s="67" t="n">
        <v>100</v>
      </c>
      <c r="E69" s="53" t="inlineStr">
        <is>
          <t>是</t>
        </is>
      </c>
      <c r="F69" s="67" t="inlineStr">
        <is>
          <t>三年前我问过您一次，这厂靠什么吃饭。那次您没答，我就当您还在想。现在三年过去了，每一笔钱我都是凭感觉批的。厂长，我不是催您，我是快退休了。</t>
        </is>
      </c>
      <c r="G69" s="53" t="n">
        <v>0</v>
      </c>
      <c r="H69" s="53" t="n">
        <v>0</v>
      </c>
      <c r="I69" s="53" t="inlineStr"/>
      <c r="J69" s="53" t="n">
        <v>0</v>
      </c>
      <c r="K69" s="53" t="inlineStr"/>
      <c r="L69" s="67" t="inlineStr">
        <is>
          <t>是</t>
        </is>
      </c>
      <c r="M69" s="53" t="inlineStr">
        <is>
          <t>源自 green-factory-15-years 厂长路线；原版条件事件已保留条件文本，当前按年份与季节抽取。</t>
        </is>
      </c>
      <c r="N69" s="68" t="inlineStr">
        <is>
          <t>year_story</t>
        </is>
      </c>
      <c r="O69" s="69" t="n">
        <v>5</v>
      </c>
      <c r="P69" s="69" t="inlineStr">
        <is>
          <t>夏</t>
        </is>
      </c>
      <c r="Q69" s="68" t="inlineStr">
        <is>
          <t>zhao</t>
        </is>
      </c>
      <c r="R69" s="69" t="inlineStr">
        <is>
          <t>老赵</t>
        </is>
      </c>
      <c r="S69" s="69" t="inlineStr">
        <is>
          <t>[{"id": "1", "text": "靠成本：谁也别想比我们便宜", "hint": "晚了三年 · 该压的地方已经压过一轮", "result": "方向总算定了。老赵松了口气，但也说了实话：\"厂长，这三年该攒的成本优势，别人已经攒完了。我们现在做的，是补课。\"", "effects": {"money": 12, "orders": 4, "aff": {"zhao": 3, "lin": -2}, "flag": "m_cost"}}, {"id": "2", "text": "靠技术：做别人做不了的活", "hint": "晚了三年 · 起步的钱更贵了", "result": "方向定了。〔陈工|小吴〕听说以后什么也没说，只是把压在最下面那本方案翻了出来。老赵算了一遍：\"同样的事，三年前做要八十万，现在要一百二。等待也是有价钱的。\"", "effects": {"money": -22, "tech": 11, "aff": {"chen": 4, "zhao": -2}, "flag": "m_tech"}}, {"id": "3", "text": "靠客户：把牌子和口碑做起来", "hint": "晚了三年 · 名声要从头攒", "result": "方向定了。林薇很高兴，但也提醒你：\"名声这东西，前三年攒的最值钱，因为那时候没人看着你。现在开始攒，得跑得比别人快一倍。\"", "effects": {"money": -14, "fame": 6, "aff": {"lin": 4, "zhao": -2}, "flag": "m_brand"}}]</t>
        </is>
      </c>
      <c r="T69" s="69" t="inlineStr">
        <is>
          <t>他没再问第三遍。往后做预算，凡是拿不准的，他一律按上一年的数照抄——一个没有方向的厂，钱花得最散，也最无声。</t>
        </is>
      </c>
      <c r="U69" s="68" t="inlineStr">
        <is>
          <t>function(s){ return !s.mode; }</t>
        </is>
      </c>
    </row>
    <row r="70" ht="42" customHeight="1">
      <c r="A70" s="52" t="inlineStr">
        <is>
          <t>GF15_Y09_SUMMER_065</t>
        </is>
      </c>
      <c r="B70" s="67" t="inlineStr">
        <is>
          <t>集团当众问：你们厂到底是什么厂</t>
        </is>
      </c>
      <c r="C70" s="53" t="inlineStr">
        <is>
          <t>第9年·夏季</t>
        </is>
      </c>
      <c r="D70" s="67" t="n">
        <v>100</v>
      </c>
      <c r="E70" s="53" t="inlineStr">
        <is>
          <t>是</t>
        </is>
      </c>
      <c r="F70" s="67" t="inlineStr">
        <is>
          <t>（经营分析会上，他忽然打断了你）别念数字了。我就问一句：你们厂在集团里，到底是干什么的那一家？台下十几个厂长都在听。</t>
        </is>
      </c>
      <c r="G70" s="53" t="n">
        <v>0</v>
      </c>
      <c r="H70" s="53" t="n">
        <v>0</v>
      </c>
      <c r="I70" s="53" t="inlineStr"/>
      <c r="J70" s="53" t="n">
        <v>0</v>
      </c>
      <c r="K70" s="53" t="inlineStr"/>
      <c r="L70" s="67" t="inlineStr">
        <is>
          <t>是</t>
        </is>
      </c>
      <c r="M70" s="53" t="inlineStr">
        <is>
          <t>源自 green-factory-15-years 厂长路线；原版条件事件已保留条件文本，当前按年份与季节抽取。</t>
        </is>
      </c>
      <c r="N70" s="68" t="inlineStr">
        <is>
          <t>year_story</t>
        </is>
      </c>
      <c r="O70" s="69" t="n">
        <v>9</v>
      </c>
      <c r="P70" s="69" t="inlineStr">
        <is>
          <t>夏</t>
        </is>
      </c>
      <c r="Q70" s="68" t="inlineStr">
        <is>
          <t>ma</t>
        </is>
      </c>
      <c r="R70" s="69" t="inlineStr">
        <is>
          <t>马副总</t>
        </is>
      </c>
      <c r="S70" s="69" t="inlineStr">
        <is>
          <t>[{"id": "1", "text": "我们是成本最低的那一家", "hint": "当众定调 · 从此只能拼价格", "result": "你说完，会场安静了两秒。有个老厂长点了点头。散会后马副总说：\"这话说出去就收不回来了，往后集团给你的单子都是这一类。\"果然如此。", "effects": {"money": 20, "orders": 6, "fame": -4, "group": 5, "flag": "m_cost"}}, {"id": "2", "text": "我们是能接别人接不了的活的那一家", "hint": "把话说满 · 半年内要拿出东西", "result": "马副总说：\"好，我记下了。半年后我来看。\"回厂的路上你才开始想，这话到底靠什么兑现。那半年〔陈工|小吴〕几乎住在车间——你把自己逼到了没有退路的位置。", "effects": {"money": -25, "tech": 16, "morale": -4, "group": 4, "aff": {"chen": 5}, "flag": "m_tech"}}, {"id": "3", "text": "我们是客户敢把名字挂上去的那一家", "hint": "漂亮话 · 也是最难兑现的那句", "result": "台下有人笑了一声。马副总没笑，他说：\"这句话我在集团听过三次，前两次说完都没了下文。\"这句话后来一直压在你心上——它逼着你在每一次可以省事的时候没有省。", "effects": {"money": -16, "fame": 9, "group": 3, "aff": {"lin": 4}, "flag": "m_brand"}}]</t>
        </is>
      </c>
      <c r="T70" s="69" t="inlineStr">
        <is>
          <t>你在会上讲了二十分钟的生产数据，没有回答那个问题。散会后马副总跟你走了一段，说："下次别讲那么细，讲细了就是没话说。"</t>
        </is>
      </c>
      <c r="U70" s="68" t="inlineStr">
        <is>
          <t>function(s){ return !s.mode; }</t>
        </is>
      </c>
    </row>
    <row r="71" ht="42" customHeight="1">
      <c r="A71" s="52" t="inlineStr">
        <is>
          <t>GF15_Y13_SPRING_066</t>
        </is>
      </c>
      <c r="B71" s="67" t="inlineStr">
        <is>
          <t>年报上那一栏还空着</t>
        </is>
      </c>
      <c r="C71" s="53" t="inlineStr">
        <is>
          <t>第13年·春季</t>
        </is>
      </c>
      <c r="D71" s="67" t="n">
        <v>100</v>
      </c>
      <c r="E71" s="53" t="inlineStr">
        <is>
          <t>是</t>
        </is>
      </c>
      <c r="F71" s="67" t="inlineStr">
        <is>
          <t>集团年报要各厂填一栏：核心竞争力。这栏咱们填了十二年"性价比"。厂长，我明年也该退了，这一栏，能不能这次填个真的。</t>
        </is>
      </c>
      <c r="G71" s="53" t="n">
        <v>0</v>
      </c>
      <c r="H71" s="53" t="n">
        <v>0</v>
      </c>
      <c r="I71" s="53" t="inlineStr"/>
      <c r="J71" s="53" t="n">
        <v>0</v>
      </c>
      <c r="K71" s="53" t="inlineStr"/>
      <c r="L71" s="67" t="inlineStr">
        <is>
          <t>是</t>
        </is>
      </c>
      <c r="M71" s="53" t="inlineStr">
        <is>
          <t>源自 green-factory-15-years 厂长路线；原版条件事件已保留条件文本，当前按年份与季节抽取。</t>
        </is>
      </c>
      <c r="N71" s="68" t="inlineStr">
        <is>
          <t>year_story</t>
        </is>
      </c>
      <c r="O71" s="69" t="n">
        <v>13</v>
      </c>
      <c r="P71" s="69" t="inlineStr">
        <is>
          <t>春</t>
        </is>
      </c>
      <c r="Q71" s="68" t="inlineStr">
        <is>
          <t>zhao</t>
        </is>
      </c>
      <c r="R71" s="69" t="inlineStr">
        <is>
          <t>老赵</t>
        </is>
      </c>
      <c r="S71" s="69" t="inlineStr">
        <is>
          <t>[{"id": "1", "text": "填\"成本\"，认了", "hint": "诚实 · 也是十二年的定论", "result": "你填了成本两个字。老赵看了很久，说：\"其实这十二年，咱们真的把成本做到了这一带最低。只是从来没人敢把它当成一件正经事来说。\"", "effects": {"money": 16, "orders": 4, "flag": "m_cost"}}, {"id": "2", "text": "填\"技术\"，然后用剩下三年把它变成真的", "hint": "先立字据 · 逼自己一把", "result": "填完这两个字，你把剩下的钱全砸进了技改。老赵在退休前最后一次签字时说：\"厂长，您这是先写答案再做题。\"三年时间不够把它做成，但够把它做像。", "effects": {"money": -30, "tech": 14, "flag": "m_tech"}}, {"id": "3", "text": "空着，等新厂长来填", "hint": "留白 · 集团会自己填", "result": "那一栏交上去是空的。集团办公室的人打电话来确认，你说就空着吧。第二年印出来的年报上，那一栏被人代填了四个字：\"产能配套\"。", "effects": {"group": -9, "fame": -3}}]</t>
        </is>
      </c>
      <c r="T71" s="69" t="inlineStr">
        <is>
          <t>那一栏最后填的是"综合型制造企业"。集团的人看到这六个字就明白了：这个厂没有想清楚过自己是谁。</t>
        </is>
      </c>
      <c r="U71" s="68" t="inlineStr">
        <is>
          <t>function(s){ return !s.mode; }</t>
        </is>
      </c>
    </row>
    <row r="72" ht="42" customHeight="1">
      <c r="A72" s="52" t="inlineStr">
        <is>
          <t>GF15_Y01_SUMMER_067</t>
        </is>
      </c>
      <c r="B72" s="67" t="inlineStr">
        <is>
          <t>老周的侄子想进厂</t>
        </is>
      </c>
      <c r="C72" s="53" t="inlineStr">
        <is>
          <t>第1年·夏季</t>
        </is>
      </c>
      <c r="D72" s="67" t="n">
        <v>100</v>
      </c>
      <c r="E72" s="53" t="inlineStr">
        <is>
          <t>是</t>
        </is>
      </c>
      <c r="F72" s="67" t="inlineStr">
        <is>
          <t>厂长，有件私事。我侄子技校刚毕业，想进厂，从学徒干起。我知道这话不该我说。我在这厂二十六年，头一回开这个口。</t>
        </is>
      </c>
      <c r="G72" s="53" t="n">
        <v>0</v>
      </c>
      <c r="H72" s="53" t="n">
        <v>0</v>
      </c>
      <c r="I72" s="53" t="inlineStr"/>
      <c r="J72" s="53" t="n">
        <v>0</v>
      </c>
      <c r="K72" s="53" t="inlineStr"/>
      <c r="L72" s="67" t="inlineStr">
        <is>
          <t>是</t>
        </is>
      </c>
      <c r="M72" s="53" t="inlineStr">
        <is>
          <t>源自 green-factory-15-years 厂长路线；原版条件事件已保留条件文本，当前按年份与季节抽取。</t>
        </is>
      </c>
      <c r="N72" s="68" t="inlineStr">
        <is>
          <t>year_story</t>
        </is>
      </c>
      <c r="O72" s="69" t="n">
        <v>1</v>
      </c>
      <c r="P72" s="69" t="inlineStr">
        <is>
          <t>夏</t>
        </is>
      </c>
      <c r="Q72" s="68" t="inlineStr">
        <is>
          <t>zhou</t>
        </is>
      </c>
      <c r="R72" s="69" t="inlineStr">
        <is>
          <t>老周</t>
        </is>
      </c>
      <c r="S72" s="69" t="inlineStr">
        <is>
          <t>[{"id": "1", "text": "收下，就当还老周一个人情", "hint": "老周记你的好 · 别人也会记这件事", "result": "小伙子进了三车间，干活还算利索。这事没人当面说什么，但那年招工，又来了三个\"谁谁家的孩子\"。你后来才知道，一个口子开了，关上要难十倍。", "effects": {"morale": -3, "aff": {"zhou": 7}, "flag": "nepo_in"}}, {"id": "2", "text": "不收，规矩是规矩", "hint": "干净 · 但你伤了他", "result": "老周站起来说了句\"我知道了，是我唐突\"，然后正常上班，正常汇报，正常交代。他再没有跟你说过一句厂子以外的话。有些距离一旦拉开，就再没有理由拉回来。", "effects": {"aff": {"zhou": -6}, "flag": "nepo_out"}}, {"id": "3", "text": "让他跟别人一起考，考上我不拦", "hint": "看起来最公道 · 两头都不落好", "result": "厂里第一次有了招工考试。他侄子考了第四，招三个。老周什么也没说，倒是别的班组的人私下议论：\"厂长这是不想收，又不想担名声。\"公道这东西，有时候比偏袒还伤人。", "effects": {"morale": 2, "aff": {"zhou": -3}, "flag": "hire_exam"}}]</t>
        </is>
      </c>
      <c r="T72" s="69" t="inlineStr">
        <is>
          <t>这事你一直没答复。老周没再提，但那年之后凡是你交代的事，他都办得一丝不苟——太一丝不苟了，多一句话都没有。</t>
        </is>
      </c>
      <c r="U72" s="68" t="inlineStr"/>
    </row>
    <row r="73" ht="42" customHeight="1">
      <c r="A73" s="52" t="inlineStr">
        <is>
          <t>GF15_Y02_AUTUMN_068</t>
        </is>
      </c>
      <c r="B73" s="67" t="inlineStr">
        <is>
          <t>前任留下的那家供应商</t>
        </is>
      </c>
      <c r="C73" s="53" t="inlineStr">
        <is>
          <t>第2年·秋季</t>
        </is>
      </c>
      <c r="D73" s="67" t="n">
        <v>100</v>
      </c>
      <c r="E73" s="53" t="inlineStr">
        <is>
          <t>是</t>
        </is>
      </c>
      <c r="F73" s="67" t="inlineStr">
        <is>
          <t>有家供料的，价格比市面高一成，质量倒是稳。他们老板是前任厂长的连襟。合同年底到期。厂长，这事您得知道，怎么办我不敢替您想。</t>
        </is>
      </c>
      <c r="G73" s="53" t="n">
        <v>0</v>
      </c>
      <c r="H73" s="53" t="n">
        <v>0</v>
      </c>
      <c r="I73" s="53" t="inlineStr"/>
      <c r="J73" s="53" t="n">
        <v>0</v>
      </c>
      <c r="K73" s="53" t="inlineStr"/>
      <c r="L73" s="67" t="inlineStr">
        <is>
          <t>是</t>
        </is>
      </c>
      <c r="M73" s="53" t="inlineStr">
        <is>
          <t>源自 green-factory-15-years 厂长路线；原版条件事件已保留条件文本，当前按年份与季节抽取。</t>
        </is>
      </c>
      <c r="N73" s="68" t="inlineStr">
        <is>
          <t>year_story</t>
        </is>
      </c>
      <c r="O73" s="69" t="n">
        <v>2</v>
      </c>
      <c r="P73" s="69" t="inlineStr">
        <is>
          <t>秋</t>
        </is>
      </c>
      <c r="Q73" s="68" t="inlineStr">
        <is>
          <t>zhao</t>
        </is>
      </c>
      <c r="R73" s="69" t="inlineStr">
        <is>
          <t>老赵</t>
        </is>
      </c>
      <c r="S73" s="69" t="inlineStr">
        <is>
          <t>[{"id": "1", "text": "换掉，走公开比价", "hint": "省钱 · 前任还在集团", "result": "比价换了一家，一年省下二十来万。三个月后集团一位老同志来厂里\"了解情况\"，什么也没查，临走说了句：\"年轻人做事，是要利落一点。\"这句话你琢磨了很久。", "effects": {"money": 26, "group": -6, "flag": "cut_crony"}}, {"id": "2", "text": "留着，不惹这个麻烦", "hint": "省事 · 每年多掏一笔", "result": "合同照续。这一成的差价此后年年都在，老赵每次做报表都会用红笔在那一行画个圈，然后什么也不说。", "effects": {"money": -14, "aff": {"zhao": -3}, "flag": "keep_crony"}}, {"id": "3", "text": "留着，但把标准提上去", "hint": "不撕破脸 · 要花力气盯", "result": "你重新签了合同，价格不动，但加了来料检验和考核条款。对方老板一开始不高兴，半年后反而认真起来。这条路最麻烦，你自己也说不清是聪明还是懦弱。", "effects": {"money": -4, "tech": 4, "aff": {"zhao": 2}, "flag": "tame_crony"}}]</t>
        </is>
      </c>
      <c r="T73" s="69" t="inlineStr">
        <is>
          <t>这事你没碰。那家供应商又供了十几年，料价一直高一成。老赵每年都在报表上标出来，每年都没有人问。</t>
        </is>
      </c>
      <c r="U73" s="68" t="inlineStr"/>
    </row>
    <row r="74" ht="42" customHeight="1">
      <c r="A74" s="52" t="inlineStr">
        <is>
          <t>GF15_Y07_SUMMER_069</t>
        </is>
      </c>
      <c r="B74" s="67" t="inlineStr">
        <is>
          <t>账上有一笔说不清的钱</t>
        </is>
      </c>
      <c r="C74" s="53" t="inlineStr">
        <is>
          <t>第7年·夏季</t>
        </is>
      </c>
      <c r="D74" s="67" t="n">
        <v>100</v>
      </c>
      <c r="E74" s="53" t="inlineStr">
        <is>
          <t>是</t>
        </is>
      </c>
      <c r="F74" s="67" t="inlineStr">
        <is>
          <t>去年那笔环保设备的款，付了款，设备到了，但验收单上的签字不是本人的。金额不大，十六万。厂长，我可以按流程补一份，也可以往上报。</t>
        </is>
      </c>
      <c r="G74" s="53" t="n">
        <v>0</v>
      </c>
      <c r="H74" s="53" t="n">
        <v>0</v>
      </c>
      <c r="I74" s="53" t="inlineStr"/>
      <c r="J74" s="53" t="n">
        <v>0</v>
      </c>
      <c r="K74" s="53" t="inlineStr"/>
      <c r="L74" s="67" t="inlineStr">
        <is>
          <t>是</t>
        </is>
      </c>
      <c r="M74" s="53" t="inlineStr">
        <is>
          <t>源自 green-factory-15-years 厂长路线；原版条件事件已保留条件文本，当前按年份与季节抽取。</t>
        </is>
      </c>
      <c r="N74" s="68" t="inlineStr">
        <is>
          <t>year_story</t>
        </is>
      </c>
      <c r="O74" s="69" t="n">
        <v>7</v>
      </c>
      <c r="P74" s="69" t="inlineStr">
        <is>
          <t>夏</t>
        </is>
      </c>
      <c r="Q74" s="68" t="inlineStr">
        <is>
          <t>zhao</t>
        </is>
      </c>
      <c r="R74" s="69" t="inlineStr">
        <is>
          <t>老赵</t>
        </is>
      </c>
      <c r="S74" s="69" t="inlineStr">
        <is>
          <t>[{"id": "1", "text": "往上报，请集团来查", "hint": "干净 · 会牵出人", "result": "审计组来了十天。结论是采购员违规代签，没有资金问题，那人调离。老赵说：\"厂长，您这次做对了，但采购科那几个人，从此不会替您办任何一件不在纸面上的事。\"", "effects": {"money": -6, "group": 6, "morale": -6, "flag": "audit_self"}}, {"id": "2", "text": "补一份，事情到此为止", "hint": "省事 · 你也签了字", "result": "手续补齐了，账平了。这件事从此有了两个知情人——你和老赵。他后来没再提过，只是每次遇到需要你签字的模糊地带，他都会多问一句\"确定吗\"。", "effects": {"risk": 1, "aff": {"zhao": -2}, "flag": "covered"}}, {"id": "3", "text": "先查清楚这钱到底去哪儿了", "hint": "自己动手 · 可能挖出更多", "result": "你查了两周，发现是采购员图省事替供应商代签，钱没有问题。但顺带翻出了另外三笔类似的操作。你把这些一起做了内部通报，没有报上去。厂里的人从此知道：这位厂长自己是会查账的。", "effects": {"morale": -3, "risk": -1, "group": 2, "aff": {"zhao": 4}, "flag": "self_clean"}}]</t>
        </is>
      </c>
      <c r="T74" s="69" t="inlineStr">
        <is>
          <t>你没有处理。这笔钱在账上挂了很多年，每次审计都被问一次，每次都被含糊过去。它不大，但它一直在那儿。</t>
        </is>
      </c>
      <c r="U74" s="68" t="inlineStr"/>
    </row>
    <row r="75" ht="42" customHeight="1">
      <c r="A75" s="52" t="inlineStr">
        <is>
          <t>GF15_Y09_SUMMER_070</t>
        </is>
      </c>
      <c r="B75" s="67" t="inlineStr">
        <is>
          <t>宏远挖走了你的销售骨干</t>
        </is>
      </c>
      <c r="C75" s="53" t="inlineStr">
        <is>
          <t>第9年·夏季</t>
        </is>
      </c>
      <c r="D75" s="67" t="n">
        <v>100</v>
      </c>
      <c r="E75" s="53" t="inlineStr">
        <is>
          <t>是</t>
        </is>
      </c>
      <c r="F75" s="67" t="inlineStr">
        <is>
          <t>我手下最能跑的那个去了宏远，带走了三家客户的联系人。他跟了我六年，我一点风声都没听到。厂长，我这两年是不是把人管松了。</t>
        </is>
      </c>
      <c r="G75" s="53" t="n">
        <v>0</v>
      </c>
      <c r="H75" s="53" t="n">
        <v>0</v>
      </c>
      <c r="I75" s="53" t="inlineStr"/>
      <c r="J75" s="53" t="n">
        <v>0</v>
      </c>
      <c r="K75" s="53" t="inlineStr"/>
      <c r="L75" s="67" t="inlineStr">
        <is>
          <t>是</t>
        </is>
      </c>
      <c r="M75" s="53" t="inlineStr">
        <is>
          <t>源自 green-factory-15-years 厂长路线；原版条件事件已保留条件文本，当前按年份与季节抽取。</t>
        </is>
      </c>
      <c r="N75" s="68" t="inlineStr">
        <is>
          <t>year_story</t>
        </is>
      </c>
      <c r="O75" s="69" t="n">
        <v>9</v>
      </c>
      <c r="P75" s="69" t="inlineStr">
        <is>
          <t>夏</t>
        </is>
      </c>
      <c r="Q75" s="68" t="inlineStr">
        <is>
          <t>lin</t>
        </is>
      </c>
      <c r="R75" s="69" t="inlineStr">
        <is>
          <t>林薇</t>
        </is>
      </c>
      <c r="S75" s="69" t="inlineStr">
        <is>
          <t>[{"id": "1", "text": "给销售团队重做一套提成和晋升", "hint": "花 26 万/年 · 治本，但要两年才见效", "result": "方案改了三稿才定。头一年成本上去了，业绩没动；第二年开始，跑客户的人明显多了。林薇说：\"以前他们是替我跑，现在是替自己跑。\"", "effects": {"money": -26, "orders": 9, "morale": 4, "aff": {"lin": 5}, "flag": "sales_sys"}}, {"id": "2", "text": "把那三家客户抢回来", "hint": "打一场 · 打赢打输都伤", "result": "林薇亲自跑了两个月，抢回来两家。宏远那边的报价压到了成本线以下，两家厂都没赚到钱。她回来的时候瘦了一圈，说：\"厂长，这种仗赢一次，我少活一年。\"", "effects": {"money": -10, "orders": 6, "rival": -6, "morale": -3, "aff": {"lin": -1}}}, {"id": "3", "text": "不追了，让她重新带人", "hint": "认了 · 也是信任", "result": "你只说了一句\"人走了就走了，你重新带\"。林薇愣了一下。半年后她带出来两个新人，其中一个后来接了她的班。有些事不追究，本身就是一种交代。", "effects": {"orders": -5, "morale": 3, "aff": {"lin": 4}, "flag": "lin_trust"}}]</t>
        </is>
      </c>
      <c r="T75" s="69" t="inlineStr">
        <is>
          <t>人走了，客户跟着走了两家。林薇一个人补了半年的窟窿，从那以后她再没跟你提过团队的事。</t>
        </is>
      </c>
      <c r="U75" s="68" t="inlineStr"/>
    </row>
    <row r="76" ht="42" customHeight="1">
      <c r="A76" s="52" t="inlineStr">
        <is>
          <t>GF15_Y11_SUMMER_071</t>
        </is>
      </c>
      <c r="B76" s="67" t="inlineStr">
        <is>
          <t>副厂长和车间顶上了</t>
        </is>
      </c>
      <c r="C76" s="53" t="inlineStr">
        <is>
          <t>第11年·夏季</t>
        </is>
      </c>
      <c r="D76" s="67" t="n">
        <v>100</v>
      </c>
      <c r="E76" s="53" t="inlineStr">
        <is>
          <t>是</t>
        </is>
      </c>
      <c r="F76" s="67" t="inlineStr">
        <is>
          <t>厂长，副厂长和车间那位在生产会上又杠上了。一个说流程要改，一个说改了车间转不动。这两个人您都用得着，可现在底下人开会得先看谁先说话。</t>
        </is>
      </c>
      <c r="G76" s="53" t="n">
        <v>0</v>
      </c>
      <c r="H76" s="53" t="n">
        <v>0</v>
      </c>
      <c r="I76" s="53" t="inlineStr"/>
      <c r="J76" s="53" t="n">
        <v>0</v>
      </c>
      <c r="K76" s="53" t="inlineStr"/>
      <c r="L76" s="67" t="inlineStr">
        <is>
          <t>是</t>
        </is>
      </c>
      <c r="M76" s="53" t="inlineStr">
        <is>
          <t>源自 green-factory-15-years 厂长路线；原版条件事件已保留条件文本，当前按年份与季节抽取。</t>
        </is>
      </c>
      <c r="N76" s="68" t="inlineStr">
        <is>
          <t>year_story</t>
        </is>
      </c>
      <c r="O76" s="69" t="n">
        <v>11</v>
      </c>
      <c r="P76" s="69" t="inlineStr">
        <is>
          <t>夏</t>
        </is>
      </c>
      <c r="Q76" s="68" t="inlineStr">
        <is>
          <t>zhao</t>
        </is>
      </c>
      <c r="R76" s="69" t="inlineStr">
        <is>
          <t>老赵</t>
        </is>
      </c>
      <c r="S76" s="69" t="inlineStr">
        <is>
          <t>[{"id": "1", "text": "把两摊事切开，各管各的", "hint": "不吵了 · 也不通气了", "result": "职责重新划了线，会开得顺了。但半年后出了一次交付事故，追下去发现是两边都以为对方在管。〔#zhou〕说：\"厂长，把人分开容易，把事分开难。\"", "effects": {"orders": -4, "morale": 4, "flag": "split_org"}}, {"id": "2", "text": "让他们俩共同负责一个项目，绑在一起", "hint": "逼他们磨合 · 也可能一起搞砸", "result": "那个项目做得磕磕绊绊，延期两个月。但结束之后两个人能一起吃饭了。〔#zhou〕评价：\"厂长这是拿一个项目当学费。\"这笔学费花得值不值，得看后面三年。", "effects": {"orders": -3, "morale": 6, "tech": 5, "flag": "forged_pair"}}, {"id": "3", "text": "明确一个人说了算", "hint": "快刀 · 另一个会走", "result": "你在会上说清楚了谁拍板。效率立刻上来，事故也少了。另一个人年底提了调动，走的时候只说了一句\"厂长，我明白\"。厂里的人也都明白了。", "effects": {"orders": 5, "morale": -7, "group": 2, "flag": "one_boss"}}]</t>
        </is>
      </c>
      <c r="T76" s="69" t="inlineStr">
        <is>
          <t>两个人的事你没有过问。半年后车间那位申请调岗去了后勤，副厂长从此一个人管两摊，什么都亲力亲为，也什么都慢了半拍。</t>
        </is>
      </c>
      <c r="U76" s="68" t="inlineStr">
        <is>
          <t>function(s){ return !!(s.flag.vp_zhou || s.flag.vp_out); }</t>
        </is>
      </c>
    </row>
    <row r="77" ht="42" customHeight="1">
      <c r="A77" s="52" t="inlineStr">
        <is>
          <t>GF15_Y12_SUMMER_072</t>
        </is>
      </c>
      <c r="B77" s="67" t="inlineStr">
        <is>
          <t>宏远开始低价倾销</t>
        </is>
      </c>
      <c r="C77" s="53" t="inlineStr">
        <is>
          <t>第12年·夏季</t>
        </is>
      </c>
      <c r="D77" s="67" t="n">
        <v>100</v>
      </c>
      <c r="E77" s="53" t="inlineStr">
        <is>
          <t>是</t>
        </is>
      </c>
      <c r="F77" s="67" t="inlineStr">
        <is>
          <t>宏远今年报价压到了成本以下，几个片区一起压。他们背后有笔新融资，摆明了要先把人耗死。厂长，这一仗打不打？</t>
        </is>
      </c>
      <c r="G77" s="53" t="n">
        <v>0</v>
      </c>
      <c r="H77" s="53" t="n">
        <v>0</v>
      </c>
      <c r="I77" s="53" t="inlineStr"/>
      <c r="J77" s="53" t="n">
        <v>0</v>
      </c>
      <c r="K77" s="53" t="inlineStr"/>
      <c r="L77" s="67" t="inlineStr">
        <is>
          <t>是</t>
        </is>
      </c>
      <c r="M77" s="53" t="inlineStr">
        <is>
          <t>源自 green-factory-15-years 厂长路线；原版条件事件已保留条件文本，当前按年份与季节抽取。</t>
        </is>
      </c>
      <c r="N77" s="68" t="inlineStr">
        <is>
          <t>year_story</t>
        </is>
      </c>
      <c r="O77" s="69" t="n">
        <v>12</v>
      </c>
      <c r="P77" s="69" t="inlineStr">
        <is>
          <t>夏</t>
        </is>
      </c>
      <c r="Q77" s="68" t="inlineStr">
        <is>
          <t>lin</t>
        </is>
      </c>
      <c r="R77" s="69" t="inlineStr">
        <is>
          <t>林薇</t>
        </is>
      </c>
      <c r="S77" s="69" t="inlineStr">
        <is>
          <t>[{"id": "1", "text": "跟，他们能扛多久我们扛多久", "hint": "硬碰 · 两败俱伤", "result": "两家厂在三个片区打了一年价格战。你守住了份额，账上少了一大截，年终奖砍了一半。宏远也没讨到便宜，但他们背后有钱，你背后是老赵的白头发。", "effects": {"money": -38, "orders": 6, "morale": -8, "rival": -6, "aff": {"zhao": -3}}}, {"id": "2", "text": "不跟，把力气花在他们抢不走的客户上", "hint": "要有底子才敢这么说", "result": "你让林薇把资源全压在几家看资质、看数据、看审核的客户上。那年丢了三成低价单，但保住的那些客户，宏远的报价再低也进不去。林薇说：\"原来我们这些年做的东西，是在这时候用的。\"", "effects": {"orders": 8, "fame": 6, "money": 10, "rival": -4}}, {"id": "3", "text": "退出那三个片区，保住利润", "hint": "止血 · 也是认输", "result": "你主动收缩。账面上比打价格战好看得多，但那三个片区从此没有你们的名字。两年后价格回升，回去的成本比当初守住要高三倍。", "effects": {"orders": -11, "money": 20, "rival": 10, "group": -4}}]</t>
        </is>
      </c>
      <c r="T77" s="69" t="inlineStr">
        <is>
          <t>你没有应对。那一年报价单发出去十七份，回来三份。老赵在年终会上把订单曲线投在墙上，一句话也没说。</t>
        </is>
      </c>
      <c r="U77" s="68" t="inlineStr"/>
    </row>
    <row r="78" ht="42" customHeight="1">
      <c r="A78" s="52" t="inlineStr">
        <is>
          <t>GF15_Y13_SUMMER_073</t>
        </is>
      </c>
      <c r="B78" s="67" t="inlineStr">
        <is>
          <t>有人替你写了封表功信</t>
        </is>
      </c>
      <c r="C78" s="53" t="inlineStr">
        <is>
          <t>第13年·夏季</t>
        </is>
      </c>
      <c r="D78" s="67" t="n">
        <v>100</v>
      </c>
      <c r="E78" s="53" t="inlineStr">
        <is>
          <t>是</t>
        </is>
      </c>
      <c r="F78" s="67" t="inlineStr">
        <is>
          <t>办公室有人给集团写了封信，讲您这些年在绿色上做的事，写得挺动人。信还没发出去，被我压下来了。厂长，这封信，发还是不发？</t>
        </is>
      </c>
      <c r="G78" s="53" t="n">
        <v>0</v>
      </c>
      <c r="H78" s="53" t="n">
        <v>0</v>
      </c>
      <c r="I78" s="53" t="inlineStr"/>
      <c r="J78" s="53" t="n">
        <v>0</v>
      </c>
      <c r="K78" s="53" t="inlineStr"/>
      <c r="L78" s="67" t="inlineStr">
        <is>
          <t>是</t>
        </is>
      </c>
      <c r="M78" s="53" t="inlineStr">
        <is>
          <t>源自 green-factory-15-years 厂长路线；原版条件事件已保留条件文本，当前按年份与季节抽取。</t>
        </is>
      </c>
      <c r="N78" s="68" t="inlineStr">
        <is>
          <t>year_story</t>
        </is>
      </c>
      <c r="O78" s="69" t="n">
        <v>13</v>
      </c>
      <c r="P78" s="69" t="inlineStr">
        <is>
          <t>夏</t>
        </is>
      </c>
      <c r="Q78" s="68" t="inlineStr">
        <is>
          <t>zhao</t>
        </is>
      </c>
      <c r="R78" s="69" t="inlineStr">
        <is>
          <t>老赵</t>
        </is>
      </c>
      <c r="S78" s="69" t="inlineStr">
        <is>
          <t>[{"id": "1", "text": "不发，做了就是做了", "hint": "干净 · 也可能白做", "result": "信被撕了。老赵说了句：\"厂长，您这样的人，集团一年能看见两三个，但记住的一个都没有。\"这句话你没反驳，因为你知道他说的是实话。", "effects": {"fame": 2, "aff": {"zhao": 3}, "flag": "no_selfpr"}}, {"id": "2", "text": "发，但把名字换成全厂", "hint": "不居功 · 效果打折", "result": "信改成了以厂部名义发的，通篇没提你。集团回了封表扬信，贴在厂里的公告栏上。车间的人第一次觉得这些事跟自己有关系。至于是谁做的，没有人特别在意——包括你。", "effects": {"group": 5, "morale": 7, "fame": 3, "flag": "credit_shared"}}, {"id": "3", "text": "发，原样发", "hint": "争一次 · 有人会不舒服", "result": "信发上去了，集团批了一笔奖励。年会上你被点名表扬。回厂那周，办公室的气氛有点怪，老赵提醒你：\"写信那个人现在到处说这是他的主意。\"", "effects": {"group": 9, "money": 22, "morale": -5, "fame": 4, "report": 1}}]</t>
        </is>
      </c>
      <c r="T78" s="69" t="inlineStr">
        <is>
          <t>信递上去了，你事后才知道。集团有人看了，也有人在私下说"那个厂长挺会来事"。这两种印象后来一直纠缠在一起。</t>
        </is>
      </c>
      <c r="U78" s="68" t="inlineStr"/>
    </row>
    <row r="79" ht="42" customHeight="1">
      <c r="A79" s="52" t="inlineStr">
        <is>
          <t>GF15_Y14_SUMMER_074</t>
        </is>
      </c>
      <c r="B79" s="67" t="inlineStr">
        <is>
          <t>集团要你写一份说明</t>
        </is>
      </c>
      <c r="C79" s="53" t="inlineStr">
        <is>
          <t>第14年·夏季</t>
        </is>
      </c>
      <c r="D79" s="67" t="n">
        <v>100</v>
      </c>
      <c r="E79" s="53" t="inlineStr">
        <is>
          <t>是</t>
        </is>
      </c>
      <c r="F79" s="67" t="inlineStr">
        <is>
          <t>集团在做任期审计。你这十几年在环保和技改上花的钱，要一笔笔说清楚产出。说实话，有些是说不清的——但说不清不等于没用。这份说明，你得自己写。</t>
        </is>
      </c>
      <c r="G79" s="53" t="n">
        <v>0</v>
      </c>
      <c r="H79" s="53" t="n">
        <v>0</v>
      </c>
      <c r="I79" s="53" t="inlineStr"/>
      <c r="J79" s="53" t="n">
        <v>0</v>
      </c>
      <c r="K79" s="53" t="inlineStr"/>
      <c r="L79" s="67" t="inlineStr">
        <is>
          <t>是</t>
        </is>
      </c>
      <c r="M79" s="53" t="inlineStr">
        <is>
          <t>源自 green-factory-15-years 厂长路线；原版条件事件已保留条件文本，当前按年份与季节抽取。</t>
        </is>
      </c>
      <c r="N79" s="68" t="inlineStr">
        <is>
          <t>year_story</t>
        </is>
      </c>
      <c r="O79" s="69" t="n">
        <v>14</v>
      </c>
      <c r="P79" s="69" t="inlineStr">
        <is>
          <t>夏</t>
        </is>
      </c>
      <c r="Q79" s="68" t="inlineStr">
        <is>
          <t>ma</t>
        </is>
      </c>
      <c r="R79" s="69" t="inlineStr">
        <is>
          <t>马副总</t>
        </is>
      </c>
      <c r="S79" s="69" t="inlineStr">
        <is>
          <t>[{"id": "1", "text": "一笔笔算，能量化的量化，不能的就写不能", "hint": "笨办法 · 也最经得起看", "result": "你写了十九页。有七笔算得出回收期，五笔只能写\"避免了处罚风险，金额无法量化\"。审计组的人后来说，这是他见过唯一一份敢写\"无法量化\"的说明。这份材料后来被集团当成模板发给了别的厂。", "effects": {"group": 11, "fame": 5, "flag": "honest_audit"}}, {"id": "2", "text": "把能算的都往好里算", "hint": "好看 · 但每个数字都要经得起追问", "result": "说明写得很漂亮，回收期一律按最乐观口径。审计组挑了三笔追问，你答得含糊。最后结论是\"投入产出测算依据不足\"——比不写好一点，但只好一点。", "effects": {"group": -3, "risk": 1}}, {"id": "3", "text": "不算钱，只写这些年少出过多少事", "hint": "另辟蹊径 · 赌他们听得懂", "result": "你列了同行这些年的处罚、停产、退单案例，然后写了一句：这些我们一次都没有过。审计组组长在会上念了这一段，有人点头，也有人说\"这不是财务语言\"。结论最后写的是\"管理成效显著，量化依据待完善\"。", "effects": {"group": 5, "fame": 6, "flag": "risk_story"}}]</t>
        </is>
      </c>
      <c r="T79" s="69" t="inlineStr">
        <is>
          <t>说明没写。集团按最不利的口径做了认定，那几年的技改投入被记成了"效益不明确支出"，写进了任期审计。</t>
        </is>
      </c>
      <c r="U79" s="68" t="inlineStr"/>
    </row>
    <row r="80" ht="42" customHeight="1">
      <c r="A80" s="52" t="inlineStr">
        <is>
          <t>GF15_Y15_SPRING_075</t>
        </is>
      </c>
      <c r="B80" s="67" t="inlineStr">
        <is>
          <t>谁来接你的班</t>
        </is>
      </c>
      <c r="C80" s="53" t="inlineStr">
        <is>
          <t>第15年·春季</t>
        </is>
      </c>
      <c r="D80" s="67" t="n">
        <v>100</v>
      </c>
      <c r="E80" s="53" t="inlineStr">
        <is>
          <t>是</t>
        </is>
      </c>
      <c r="F80" s="67" t="inlineStr">
        <is>
          <t>厂长，都传您快调走了。底下人问，接您班的是谁。〔zhou:我今年也快退了，有些话现在不说，以后就没机会说了。|老周退的时候交代过我一句：厂里的事，得有个准话。〕</t>
        </is>
      </c>
      <c r="G80" s="53" t="n">
        <v>0</v>
      </c>
      <c r="H80" s="53" t="n">
        <v>0</v>
      </c>
      <c r="I80" s="53" t="inlineStr"/>
      <c r="J80" s="53" t="n">
        <v>0</v>
      </c>
      <c r="K80" s="53" t="inlineStr"/>
      <c r="L80" s="67" t="inlineStr">
        <is>
          <t>是</t>
        </is>
      </c>
      <c r="M80" s="53" t="inlineStr">
        <is>
          <t>源自 green-factory-15-years 厂长路线；原版条件事件已保留条件文本，当前按年份与季节抽取。</t>
        </is>
      </c>
      <c r="N80" s="68" t="inlineStr">
        <is>
          <t>year_story</t>
        </is>
      </c>
      <c r="O80" s="69" t="n">
        <v>15</v>
      </c>
      <c r="P80" s="69" t="inlineStr">
        <is>
          <t>春</t>
        </is>
      </c>
      <c r="Q80" s="68" t="inlineStr">
        <is>
          <t>zhou</t>
        </is>
      </c>
      <c r="R80" s="69" t="inlineStr">
        <is>
          <t>老周</t>
        </is>
      </c>
      <c r="S80" s="69" t="inlineStr">
        <is>
          <t>[{"id": "1", "text": "推荐现在管三车间的那位", "hint": "接得住车间 · 未必接得住外面", "result": "你写了推荐信，附了他这些年经手的项目清单。集团批了。交接那天他说：\"厂长，您那套我学了七成，剩下三成我得自己摔。\"", "effects": {"morale": 9, "group": 3, "aff": {"zhou": 4}, "flag": "succ_liu"}}, {"id": "2", "text": "推荐〔陈工|小吴〕", "hint": "接得住方向 · 车间未必服", "result": "你推荐了技术这条线上的人。集团有些犹豫，最后还是批了。〔zhou:老周私下说|他私下说〕：\"厂长，他懂设备，可他不知道半夜三点车间为什么会停。\"这句话你记下了，也没有改主意。", "effects": {"tech": 6, "morale": -5, "group": 2, "aff": {"chen": 6}, "flag": "succ_tech"}}, {"id": "3", "text": "不推荐，让集团自己定", "hint": "不干预 · 也是把厂交出去", "result": "你没有写任何推荐。集团空降了一位年轻干部。你交接了三天，把所有台账、方案本、客户档案交出去，对方很认真地记了笔记。走出厂门那天你想：这厂往后是什么样，已经不归你管了。", "effects": {"group": 2, "morale": -3, "flag": "succ_none"}}]</t>
        </is>
      </c>
      <c r="T80" s="69" t="inlineStr">
        <is>
          <t>接班的事你没有安排。集团直接空降了一位，来的第一天开会讲了四十分钟战略，一句也没提这个厂过去十五年做过什么。</t>
        </is>
      </c>
      <c r="U80" s="68" t="inlineStr"/>
    </row>
    <row r="81" ht="42" customHeight="1">
      <c r="A81" s="52" t="inlineStr">
        <is>
          <t>GF15_Y15_SPRING_076</t>
        </is>
      </c>
      <c r="B81" s="67" t="inlineStr">
        <is>
          <t>最后一个客户问题</t>
        </is>
      </c>
      <c r="C81" s="53" t="inlineStr">
        <is>
          <t>第15年·春季</t>
        </is>
      </c>
      <c r="D81" s="67" t="n">
        <v>100</v>
      </c>
      <c r="E81" s="53" t="inlineStr">
        <is>
          <t>是</t>
        </is>
      </c>
      <c r="F81" s="67" t="inlineStr">
        <is>
          <t>又来了一份问卷，二十六页。比十五年前那份厚了三倍，问的东西具体到每一道工序。厂长，这可能是我替这个厂做的最后一件事了。</t>
        </is>
      </c>
      <c r="G81" s="53" t="n">
        <v>0</v>
      </c>
      <c r="H81" s="53" t="n">
        <v>0</v>
      </c>
      <c r="I81" s="53" t="inlineStr"/>
      <c r="J81" s="53" t="n">
        <v>0</v>
      </c>
      <c r="K81" s="53" t="inlineStr"/>
      <c r="L81" s="67" t="inlineStr">
        <is>
          <t>是</t>
        </is>
      </c>
      <c r="M81" s="53" t="inlineStr">
        <is>
          <t>源自 green-factory-15-years 厂长路线；原版条件事件已保留条件文本，当前按年份与季节抽取。</t>
        </is>
      </c>
      <c r="N81" s="68" t="inlineStr">
        <is>
          <t>year_story</t>
        </is>
      </c>
      <c r="O81" s="69" t="n">
        <v>15</v>
      </c>
      <c r="P81" s="69" t="inlineStr">
        <is>
          <t>春</t>
        </is>
      </c>
      <c r="Q81" s="68" t="inlineStr">
        <is>
          <t>lin</t>
        </is>
      </c>
      <c r="R81" s="69" t="inlineStr">
        <is>
          <t>林薇</t>
        </is>
      </c>
      <c r="S81" s="69" t="inlineStr">
        <is>
          <t>[{"id": "1", "text": "一栏栏填，填不出的照旧写填不出", "hint": "和十五年前一样的答法", "result": "这一次，二十六页里只有两栏是空的。林薇填完最后一页，把它和十五年前那份复印件订在了一起，放进档案柜最上面那一格。她说：\"厂长，您看，就差这么两栏。\"", "effects": {"orders": 10, "fame": 8, "group": 4, "flag": "last_form"}}, {"id": "2", "text": "交给新人去填，她该歇歇了", "hint": "体面 · 但会差一点", "result": "新人填了三天，有六栏填错，两栏空着。客户回了封邮件要求澄清。林薇看到之后自己重做了一遍，只说了句：\"最后一次了，让我做完。\"", "effects": {"orders": 5, "fame": 3, "aff": {"lin": 3}}}, {"id": "3", "text": "这次找机构代填，别为难人了", "hint": "花 12 万 · 兜了一个圈回到原点", "result": "报告做得很专业。客户来现场核对时问了七个问题，接待的新人答不上来四个。林薇没有说话，只是那天下班走得比谁都早。", "effects": {"money": -12, "orders": 3, "fame": -3, "aff": {"lin": -4}}}]</t>
        </is>
      </c>
      <c r="T81" s="69" t="inlineStr">
        <is>
          <t>那份问卷没有人回。这是十五年前的那一幕，只是这一次，连遗憾都淡了。</t>
        </is>
      </c>
      <c r="U81" s="68" t="inlineStr">
        <is>
          <t>function(s){ return !s.flag.lin_left; }</t>
        </is>
      </c>
    </row>
    <row r="82" ht="42" customHeight="1">
      <c r="A82" s="52" t="inlineStr">
        <is>
          <t>GF15_Y15_SUMMER_077</t>
        </is>
      </c>
      <c r="B82" s="67" t="inlineStr">
        <is>
          <t>宏远上市了</t>
        </is>
      </c>
      <c r="C82" s="53" t="inlineStr">
        <is>
          <t>第15年·夏季</t>
        </is>
      </c>
      <c r="D82" s="67" t="n">
        <v>100</v>
      </c>
      <c r="E82" s="53" t="inlineStr">
        <is>
          <t>是</t>
        </is>
      </c>
      <c r="F82" s="67" t="inlineStr">
        <is>
          <t>宏远今年过会了。招股书里绿色制造那一章写了十一页，引用的标准和你这些年做的是同一套。集团那边问：我们厂算不算落后了。</t>
        </is>
      </c>
      <c r="G82" s="53" t="n">
        <v>0</v>
      </c>
      <c r="H82" s="53" t="n">
        <v>0</v>
      </c>
      <c r="I82" s="53" t="inlineStr"/>
      <c r="J82" s="53" t="n">
        <v>0</v>
      </c>
      <c r="K82" s="53" t="inlineStr"/>
      <c r="L82" s="67" t="inlineStr">
        <is>
          <t>是</t>
        </is>
      </c>
      <c r="M82" s="53" t="inlineStr">
        <is>
          <t>源自 green-factory-15-years 厂长路线；原版条件事件已保留条件文本，当前按年份与季节抽取。</t>
        </is>
      </c>
      <c r="N82" s="68" t="inlineStr">
        <is>
          <t>year_story</t>
        </is>
      </c>
      <c r="O82" s="69" t="n">
        <v>15</v>
      </c>
      <c r="P82" s="69" t="inlineStr">
        <is>
          <t>夏</t>
        </is>
      </c>
      <c r="Q82" s="68" t="inlineStr">
        <is>
          <t>ma</t>
        </is>
      </c>
      <c r="R82" s="69" t="inlineStr">
        <is>
          <t>马副总</t>
        </is>
      </c>
      <c r="S82" s="69" t="inlineStr">
        <is>
          <t>[{"id": "1", "text": "把我们这十五年的东西也整理成一份材料报上去", "hint": "花 18 万 · 东西得是真的", "result": "材料交上去，集团第一次完整看到了这个厂十五年的曲线。有位副总在会上说：\"这家的数据没有一年是断的。\"这句话比任何一份招股书都值钱——虽然它不会写进任何一份招股书。", "effects": {"money": -18, "group": 12, "fame": 8, "orders": 6}}, {"id": "2", "text": "实话说：我们落后，但不是落后在做没做，是落后在说没说", "hint": "坦白 · 集团未必爱听", "result": "你在电话里说了这句话。对面沉默了一会儿，说：\"这话你敢说，说明你心里有底。\"半年后集团请了家咨询公司来给下属厂做品牌梳理，第一站是你们。", "effects": {"group": 6, "fame": 5}}, {"id": "3", "text": "不比了，这十五年不是为了跟谁比", "hint": "放下 · 也可能只是不想面对", "result": "你说厂子挺好的，不用比。〔#zhao〕后来说了句：\"厂长，您这话我信，可集团不信这个。\"那年集团的资源分配里，你们厂还是那个中游偏后的位置。", "effects": {"group": -5, "morale": 4}}]</t>
        </is>
      </c>
      <c r="T82" s="69" t="inlineStr">
        <is>
          <t>招股书你没有细看。倒是〔#zhao〕看完了，在办公室念了一段给你听，念到"绿色制造是我们的核心竞争力"那句时停了两秒，然后合上了。</t>
        </is>
      </c>
      <c r="U82" s="68" t="inlineStr"/>
    </row>
    <row r="83" ht="42" customHeight="1">
      <c r="A83" s="52" t="inlineStr">
        <is>
          <t>GF15_Y15_SUMMER_078</t>
        </is>
      </c>
      <c r="B83" s="67" t="inlineStr">
        <is>
          <t>最后一次盘账</t>
        </is>
      </c>
      <c r="C83" s="53" t="inlineStr">
        <is>
          <t>第15年·夏季</t>
        </is>
      </c>
      <c r="D83" s="67" t="n">
        <v>100</v>
      </c>
      <c r="E83" s="53" t="inlineStr">
        <is>
          <t>是</t>
        </is>
      </c>
      <c r="F83" s="67" t="inlineStr">
        <is>
          <t>（他已经办完退休手续，是自己回来的）厂长，我把这十五年的账重新拉了一遍。有些当年我反对的，现在看是对的；有些当年我同意的，现在看是错的。要不要我做一份总账给您？</t>
        </is>
      </c>
      <c r="G83" s="53" t="n">
        <v>0</v>
      </c>
      <c r="H83" s="53" t="n">
        <v>0</v>
      </c>
      <c r="I83" s="53" t="inlineStr"/>
      <c r="J83" s="53" t="n">
        <v>0</v>
      </c>
      <c r="K83" s="53" t="inlineStr"/>
      <c r="L83" s="67" t="inlineStr">
        <is>
          <t>是</t>
        </is>
      </c>
      <c r="M83" s="53" t="inlineStr">
        <is>
          <t>源自 green-factory-15-years 厂长路线；原版条件事件已保留条件文本，当前按年份与季节抽取。</t>
        </is>
      </c>
      <c r="N83" s="68" t="inlineStr">
        <is>
          <t>year_story</t>
        </is>
      </c>
      <c r="O83" s="69" t="n">
        <v>15</v>
      </c>
      <c r="P83" s="69" t="inlineStr">
        <is>
          <t>夏</t>
        </is>
      </c>
      <c r="Q83" s="68" t="inlineStr">
        <is>
          <t>zhao</t>
        </is>
      </c>
      <c r="R83" s="69" t="inlineStr">
        <is>
          <t>老赵</t>
        </is>
      </c>
      <c r="S83" s="69" t="inlineStr">
        <is>
          <t>[{"id": "1", "text": "做，我想知道这十五年到底花在了哪儿", "hint": "面对", "result": "总账做出来是三十七页。最贵的三笔里，有两笔当年他都反对过。他在最后一页写了一行字：\"本表由赵德海编制，此人曾于第三年、第七年、第十一年三次提出反对意见，事后证明两次是错的。\"", "effects": {"fame": 4, "group": 5, "aff": {"zhao": 5}, "flag": "final_ledger"}}, {"id": "2", "text": "不用了，老赵，回家歇着吧", "hint": "体面收场", "result": "他坐了一会儿就走了。第二个月你收到一个包裹，里面是那三十七页，他还是做完了。附了一张纸条：\"厂长，我做完才睡得着。\"", "effects": {"morale": 3, "aff": {"zhao": 4}}}, {"id": "3", "text": "做，但只做一件事：算算我们少赚了多少", "hint": "残酷 · 但你该知道", "result": "他算出来一个数字：这十五年，为了那些\"当时看不出产出\"的事，你少赚了大约六百八十万。他把纸推过来，又补了一句：\"另外我算了一下，同期倒掉的七家同行，加起来省了不止这个数。\"", "effects": {"fame": 3, "aff": {"zhao": 3}, "flag": "cost_of_clean"}}]</t>
        </is>
      </c>
      <c r="T83" s="69" t="inlineStr">
        <is>
          <t>账最后是新来的会计盘的。那些年的技改台账、罚款记录、客户审核结论，被分门别类装了箱，谁也没有再翻开过。</t>
        </is>
      </c>
      <c r="U83" s="68" t="inlineStr"/>
    </row>
    <row r="84" ht="42" customHeight="1">
      <c r="A84" s="52" t="inlineStr">
        <is>
          <t>GF15_Y15_SPRING_079</t>
        </is>
      </c>
      <c r="B84" s="67" t="inlineStr">
        <is>
          <t>新人拿着一份问卷来问</t>
        </is>
      </c>
      <c r="C84" s="53" t="inlineStr">
        <is>
          <t>第15年·春季</t>
        </is>
      </c>
      <c r="D84" s="67" t="n">
        <v>100</v>
      </c>
      <c r="E84" s="53" t="inlineStr">
        <is>
          <t>是</t>
        </is>
      </c>
      <c r="F84" s="67" t="inlineStr">
        <is>
          <t>厂长，客户发来一份问卷，二十六页。林姐留下的档案里有十五年前那一份，一半是空的。我不知道该照着填，还是该照实填。</t>
        </is>
      </c>
      <c r="G84" s="53" t="n">
        <v>0</v>
      </c>
      <c r="H84" s="53" t="n">
        <v>0</v>
      </c>
      <c r="I84" s="53" t="inlineStr"/>
      <c r="J84" s="53" t="n">
        <v>0</v>
      </c>
      <c r="K84" s="53" t="inlineStr"/>
      <c r="L84" s="67" t="inlineStr">
        <is>
          <t>是</t>
        </is>
      </c>
      <c r="M84" s="53" t="inlineStr">
        <is>
          <t>源自 green-factory-15-years 厂长路线；原版条件事件已保留条件文本，当前按年份与季节抽取。</t>
        </is>
      </c>
      <c r="N84" s="68" t="inlineStr">
        <is>
          <t>year_story</t>
        </is>
      </c>
      <c r="O84" s="69" t="n">
        <v>15</v>
      </c>
      <c r="P84" s="69" t="inlineStr">
        <is>
          <t>春</t>
        </is>
      </c>
      <c r="Q84" s="68" t="inlineStr">
        <is>
          <t>lin</t>
        </is>
      </c>
      <c r="R84" s="69" t="inlineStr">
        <is>
          <t>林薇</t>
        </is>
      </c>
      <c r="S84" s="69" t="inlineStr">
        <is>
          <t>[{"id": "1", "text": "照实填，填不出的就写填不出", "hint": "和十五年前一样的答法", "result": "这一次，二十六页里只有两栏是空的。你让她把这份和十五年前那份订在一起，放进档案柜最上面那一格。她翻着旧的那份问：\"厂长，这是林姐的字吧？\"你说是。她说：\"她在角上写了两个字，两年。\"", "effects": {"orders": 10, "fame": 8, "group": 4, "flag": "last_form"}}, {"id": "2", "text": "把这十五年的东西都调出来，教她怎么填", "hint": "花你一整周 · 传下去", "result": "你陪着她把台账、监测报告、审核结论一份份翻出来，讲了一周。填完那天她说：\"原来这些不是材料，是这个厂真做过的事。\"这句话你在十五年里听过两次，上一次是林薇说的。", "effects": {"orders": 8, "fame": 6, "morale": 5, "flag": "last_form"}}, {"id": "3", "text": "照着老档案填，别耽误时间", "hint": "快 · 也是回到了原点", "result": "她照着旧材料填完了，格式挑不出毛病。客户来现场核对时问了七个问题，答不上来四个。晚上你路过档案室，看见那两份问卷并排放着——十五年，好像什么都变了，又好像没有。", "effects": {"orders": 2, "fame": -4}}]</t>
        </is>
      </c>
      <c r="T84" s="69" t="inlineStr">
        <is>
          <t>那份问卷没有人回。新人后来说她问过两次，没等到回话，就当这事过去了。这是十五年前的那一幕，只是这一次，连遗憾都淡了。</t>
        </is>
      </c>
      <c r="U84" s="68" t="inlineStr">
        <is>
          <t>function(s){ return !!s.flag.lin_left; }</t>
        </is>
      </c>
    </row>
    <row r="85" ht="42" customHeight="1">
      <c r="A85" s="52" t="inlineStr">
        <is>
          <t>GF15_Y14_SUMMER_080</t>
        </is>
      </c>
      <c r="B85" s="67" t="inlineStr">
        <is>
          <t>园区要收回西边那块地</t>
        </is>
      </c>
      <c r="C85" s="53" t="inlineStr">
        <is>
          <t>第14年·夏季</t>
        </is>
      </c>
      <c r="D85" s="67" t="n">
        <v>100</v>
      </c>
      <c r="E85" s="53" t="inlineStr">
        <is>
          <t>是</t>
        </is>
      </c>
      <c r="F85" s="67" t="inlineStr">
        <is>
          <t>园区要收回西边那块地做道路，那是咱们的成品仓和一半停车位。补偿谈得好是笔钱，谈不好是场麻烦。管委会那边等您一句话。</t>
        </is>
      </c>
      <c r="G85" s="53" t="n">
        <v>0</v>
      </c>
      <c r="H85" s="53" t="n">
        <v>0</v>
      </c>
      <c r="I85" s="53" t="inlineStr"/>
      <c r="J85" s="53" t="n">
        <v>0</v>
      </c>
      <c r="K85" s="53" t="inlineStr"/>
      <c r="L85" s="67" t="inlineStr">
        <is>
          <t>是</t>
        </is>
      </c>
      <c r="M85" s="53" t="inlineStr">
        <is>
          <t>源自 green-factory-15-years 厂长路线；原版条件事件已保留条件文本，当前按年份与季节抽取。</t>
        </is>
      </c>
      <c r="N85" s="68" t="inlineStr">
        <is>
          <t>year_story</t>
        </is>
      </c>
      <c r="O85" s="69" t="n">
        <v>14</v>
      </c>
      <c r="P85" s="69" t="inlineStr">
        <is>
          <t>夏</t>
        </is>
      </c>
      <c r="Q85" s="68" t="inlineStr">
        <is>
          <t>zhao</t>
        </is>
      </c>
      <c r="R85" s="69" t="inlineStr">
        <is>
          <t>老赵</t>
        </is>
      </c>
      <c r="S85" s="69" t="inlineStr">
        <is>
          <t>[{"id": "1", "text": "配合，痛快签，换后面的关系", "hint": "吃点亏 · 换一份长期人情", "result": "你三天就签了，补偿按评估价打了九折。管委会主任在会上点了名：\"这家企业讲大局。\"后来两年，凡是园区的配套指标、用电扩容、危废转运通道，你申请什么批什么。有些便宜是从吃亏里长出来的。", "effects": {"money": -14, "group": 6, "fame": 5, "flag": "yard_deal"}}, {"id": "2", "text": "咬住评估价，一分不让", "hint": "钱到位 · 也把关系耗掉了", "result": "谈了七个月，最后按评估价全额拿到。老赵很高兴。只是那两年凡是需要园区盖章的事，你都得多跑三趟，而且从来没有人给你解释为什么慢。", "effects": {"money": 34, "group": -7, "morale": -3}}, {"id": "3", "text": "不谈钱，谈条件：让他们把管网接到我们墙外", "hint": "不要现钱 · 要一件真正管用的事", "result": "你提出用这块地换园区蒸汽管网和污水专管接到厂界。管委会犹豫了两个月，最后同意了。这笔账当年在报表上是亏的，第二年锅炉和废水两头都省了钱——〔#zhao〕说：\"厂长，您这是拿地换了十年的运行成本。\"", "effects": {"money": -6, "smoke": -6, "risk": -1, "group": 2, "fac": {"boiler": 1}, "flag": "yard_pipe"}}]</t>
        </is>
      </c>
      <c r="T85" s="69" t="inlineStr">
        <is>
          <t>你一直没表态。收地的文件按最不利的方案下来了，补偿是评估价的六成，仓库限期三个月搬空。</t>
        </is>
      </c>
      <c r="U85" s="68" t="inlineStr"/>
    </row>
    <row r="86" ht="42" customHeight="1">
      <c r="A86" s="52" t="inlineStr">
        <is>
          <t>GF15_Y15_AUTUMN_081</t>
        </is>
      </c>
      <c r="B86" s="67" t="inlineStr">
        <is>
          <t>第 15 年秋季事件</t>
        </is>
      </c>
      <c r="C86" s="53" t="inlineStr">
        <is>
          <t>第15年·秋季</t>
        </is>
      </c>
      <c r="D86" s="67" t="n">
        <v>100</v>
      </c>
      <c r="E86" s="53" t="inlineStr">
        <is>
          <t>是</t>
        </is>
      </c>
      <c r="F86" s="67" t="inlineStr">
        <is>
          <t>年底最后一天，厂区安静下来。你从车间一路走到大门口，回头看了一眼那根烟囱。十五年前你第一次站在这儿的时候，它冒的烟比现在浓得多。</t>
        </is>
      </c>
      <c r="G86" s="53" t="n">
        <v>0</v>
      </c>
      <c r="H86" s="53" t="n">
        <v>0</v>
      </c>
      <c r="I86" s="53" t="inlineStr"/>
      <c r="J86" s="53" t="n">
        <v>0</v>
      </c>
      <c r="K86" s="53" t="inlineStr"/>
      <c r="L86" s="67" t="inlineStr">
        <is>
          <t>是</t>
        </is>
      </c>
      <c r="M86" s="53" t="inlineStr">
        <is>
          <t>源自 green-factory-15-years 厂长路线；原版条件事件已保留条件文本，当前按年份与季节抽取。</t>
        </is>
      </c>
      <c r="N86" s="68" t="inlineStr">
        <is>
          <t>year_story</t>
        </is>
      </c>
      <c r="O86" s="69" t="n">
        <v>15</v>
      </c>
      <c r="P86" s="69" t="inlineStr">
        <is>
          <t>秋</t>
        </is>
      </c>
      <c r="Q86" s="68" t="inlineStr">
        <is>
          <t>narr</t>
        </is>
      </c>
      <c r="R86" s="69" t="inlineStr">
        <is>
          <t>旁白</t>
        </is>
      </c>
      <c r="S86" s="69" t="inlineStr">
        <is>
          <t>[{"id": "1", "text": "（走出厂门）", "hint": "", "result": "", "effects": {}}]</t>
        </is>
      </c>
      <c r="T86" s="69" t="inlineStr"/>
      <c r="U86" s="68" t="inlineStr"/>
    </row>
  </sheetData>
  <autoFilter ref="A5:U86"/>
  <mergeCells count="2">
    <mergeCell ref="A3:M3"/>
    <mergeCell ref="A2:M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668873"/>
    <outlinePr summaryBelow="1" summaryRight="1"/>
    <pageSetUpPr/>
  </sheetPr>
  <dimension ref="A2:AE125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46" customWidth="1" min="31" max="31"/>
  </cols>
  <sheetData>
    <row r="2">
      <c r="A2" s="1" t="inlineStr">
        <is>
          <t>经营时间序列</t>
        </is>
      </c>
    </row>
    <row r="3">
      <c r="A3" s="3" t="inlineStr">
        <is>
          <t>120个月经营数据库。黄色格是可选覆盖值；空白时公式回落到“经营参数”。启用该行并保存 Excel 后，更新工具把计算结果交给游戏。</t>
        </is>
      </c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</row>
    <row r="5">
      <c r="A5" s="12" t="inlineStr">
        <is>
          <t>启用</t>
        </is>
      </c>
      <c r="B5" s="24" t="inlineStr">
        <is>
          <t>年月</t>
        </is>
      </c>
      <c r="C5" s="24" t="inlineStr">
        <is>
          <t>产能_万件年</t>
        </is>
      </c>
      <c r="D5" s="24" t="inlineStr">
        <is>
          <t>国内销量_万件月</t>
        </is>
      </c>
      <c r="E5" s="24" t="inlineStr">
        <is>
          <t>国内单价_元件</t>
        </is>
      </c>
      <c r="F5" s="24" t="inlineStr">
        <is>
          <t>大客户销量_万件月</t>
        </is>
      </c>
      <c r="G5" s="24" t="inlineStr">
        <is>
          <t>大客户单价_元件</t>
        </is>
      </c>
      <c r="H5" s="24" t="inlineStr">
        <is>
          <t>出口销量_万件月</t>
        </is>
      </c>
      <c r="I5" s="24" t="inlineStr">
        <is>
          <t>出口单价_元件</t>
        </is>
      </c>
      <c r="J5" s="24" t="inlineStr">
        <is>
          <t>材料单位成本_元件</t>
        </is>
      </c>
      <c r="K5" s="24" t="inlineStr">
        <is>
          <t>变动人工单位成本_元件</t>
        </is>
      </c>
      <c r="L5" s="24" t="inlineStr">
        <is>
          <t>固定人工_万元月</t>
        </is>
      </c>
      <c r="M5" s="24" t="inlineStr">
        <is>
          <t>用电量_万kWh月</t>
        </is>
      </c>
      <c r="N5" s="24" t="inlineStr">
        <is>
          <t>电价_元kWh</t>
        </is>
      </c>
      <c r="O5" s="24" t="inlineStr">
        <is>
          <t>用气量_万m3月</t>
        </is>
      </c>
      <c r="P5" s="24" t="inlineStr">
        <is>
          <t>气价_元m3</t>
        </is>
      </c>
      <c r="Q5" s="24" t="inlineStr">
        <is>
          <t>维护费_万元月</t>
        </is>
      </c>
      <c r="R5" s="24" t="inlineStr">
        <is>
          <t>固定经营费_万元月</t>
        </is>
      </c>
      <c r="S5" s="24" t="inlineStr">
        <is>
          <t>融资费_万元月</t>
        </is>
      </c>
      <c r="T5" s="24" t="inlineStr">
        <is>
          <t>所得税率</t>
        </is>
      </c>
      <c r="U5" s="24" t="inlineStr">
        <is>
          <t>上缴比例</t>
        </is>
      </c>
      <c r="V5" s="24" t="inlineStr">
        <is>
          <t>经营收入_万元</t>
        </is>
      </c>
      <c r="W5" s="24" t="inlineStr">
        <is>
          <t>材料成本_万元</t>
        </is>
      </c>
      <c r="X5" s="24" t="inlineStr">
        <is>
          <t>人工成本_万元</t>
        </is>
      </c>
      <c r="Y5" s="24" t="inlineStr">
        <is>
          <t>能源成本_万元</t>
        </is>
      </c>
      <c r="Z5" s="24" t="inlineStr">
        <is>
          <t>经营总成本_万元</t>
        </is>
      </c>
      <c r="AA5" s="24" t="inlineStr">
        <is>
          <t>所得税_万元</t>
        </is>
      </c>
      <c r="AB5" s="24" t="inlineStr">
        <is>
          <t>净利润_万元</t>
        </is>
      </c>
      <c r="AC5" s="24" t="inlineStr">
        <is>
          <t>上缴集团_万元</t>
        </is>
      </c>
      <c r="AD5" s="24" t="inlineStr">
        <is>
          <t>经营现金流_万元</t>
        </is>
      </c>
      <c r="AE5" s="13" t="inlineStr">
        <is>
          <t>备注</t>
        </is>
      </c>
    </row>
    <row r="6">
      <c r="A6" s="34" t="inlineStr">
        <is>
          <t>否</t>
        </is>
      </c>
      <c r="B6" s="20" t="inlineStr">
        <is>
          <t>2030-03</t>
        </is>
      </c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70">
        <f>IF(A6="是",IF(D6="",'经营参数'!$D$47/12,D6)*IF(E6="",'经营参数'!$D$44,E6)+IF(F6="",0,F6)*IF(G6="",'经营参数'!$D$45,G6)+IF(H6="",0,H6)*IF(I6="",'经营参数'!$D$46,I6),"")</f>
        <v/>
      </c>
      <c r="W6" s="70">
        <f>IF(A6="是",(IF(D6="",'经营参数'!$D$47/12,D6)+IF(F6="",0,F6)+IF(H6="",0,H6))*IF(J6="",'经营参数'!$D$20,J6),"")</f>
        <v/>
      </c>
      <c r="X6" s="70">
        <f>IF(A6="是",(IF(D6="",'经营参数'!$D$47/12,D6)+IF(F6="",0,F6)+IF(H6="",0,H6))*IF(K6="",'经营参数'!$D$22,K6)+IF(L6="",'经营参数'!$D$21/12,L6),"")</f>
        <v/>
      </c>
      <c r="Y6" s="70">
        <f>IF(A6="是",IF(M6="",(IF(D6="",'经营参数'!$D$47/12,D6)+IF(F6="",0,F6)+IF(H6="",0,H6))*'经营参数'!$D$51,M6)*IF(N6="",'经营参数'!$D$29,N6)+IF(O6="",(IF(D6="",'经营参数'!$D$47/12,D6)+IF(F6="",0,F6)+IF(H6="",0,H6))*'经营参数'!$D$52,O6)*IF(P6="",'经营参数'!$D$30,P6),"")</f>
        <v/>
      </c>
      <c r="Z6" s="70">
        <f>IF(A6="是",W6+X6+Y6+IF(Q6="",'经营参数'!$D$25/12,Q6)+IF(R6="",'经营参数'!$D$24/12,R6)+IF(S6="",0,S6),"")</f>
        <v/>
      </c>
      <c r="AA6" s="70">
        <f>IF(A6="是",MAX(0,(V6-Z6)*IF(T6="",'经营参数'!$D$26,T6)),"")</f>
        <v/>
      </c>
      <c r="AB6" s="70">
        <f>IF(A6="是",V6-Z6-AA6,"")</f>
        <v/>
      </c>
      <c r="AC6" s="70">
        <f>IF(A6="是",MAX(0,AB6*IF(U6="",'经营参数'!$D$27,U6)),"")</f>
        <v/>
      </c>
      <c r="AD6" s="70">
        <f>IF(A6="是",AB6-AC6,"")</f>
        <v/>
      </c>
      <c r="AE6" s="20" t="inlineStr">
        <is>
          <t>黄色格为空时，右侧公式使用经营参数中的基础值；启用后，游戏优先采用本行已计算的结果。</t>
        </is>
      </c>
    </row>
    <row r="7">
      <c r="A7" s="34" t="inlineStr">
        <is>
          <t>否</t>
        </is>
      </c>
      <c r="B7" s="20" t="inlineStr">
        <is>
          <t>2030-04</t>
        </is>
      </c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70">
        <f>IF(A7="是",IF(D7="",'经营参数'!$D$47/12,D7)*IF(E7="",'经营参数'!$D$44,E7)+IF(F7="",0,F7)*IF(G7="",'经营参数'!$D$45,G7)+IF(H7="",0,H7)*IF(I7="",'经营参数'!$D$46,I7),"")</f>
        <v/>
      </c>
      <c r="W7" s="70">
        <f>IF(A7="是",(IF(D7="",'经营参数'!$D$47/12,D7)+IF(F7="",0,F7)+IF(H7="",0,H7))*IF(J7="",'经营参数'!$D$20,J7),"")</f>
        <v/>
      </c>
      <c r="X7" s="70">
        <f>IF(A7="是",(IF(D7="",'经营参数'!$D$47/12,D7)+IF(F7="",0,F7)+IF(H7="",0,H7))*IF(K7="",'经营参数'!$D$22,K7)+IF(L7="",'经营参数'!$D$21/12,L7),"")</f>
        <v/>
      </c>
      <c r="Y7" s="70">
        <f>IF(A7="是",IF(M7="",(IF(D7="",'经营参数'!$D$47/12,D7)+IF(F7="",0,F7)+IF(H7="",0,H7))*'经营参数'!$D$51,M7)*IF(N7="",'经营参数'!$D$29,N7)+IF(O7="",(IF(D7="",'经营参数'!$D$47/12,D7)+IF(F7="",0,F7)+IF(H7="",0,H7))*'经营参数'!$D$52,O7)*IF(P7="",'经营参数'!$D$30,P7),"")</f>
        <v/>
      </c>
      <c r="Z7" s="70">
        <f>IF(A7="是",W7+X7+Y7+IF(Q7="",'经营参数'!$D$25/12,Q7)+IF(R7="",'经营参数'!$D$24/12,R7)+IF(S7="",0,S7),"")</f>
        <v/>
      </c>
      <c r="AA7" s="70">
        <f>IF(A7="是",MAX(0,(V7-Z7)*IF(T7="",'经营参数'!$D$26,T7)),"")</f>
        <v/>
      </c>
      <c r="AB7" s="70">
        <f>IF(A7="是",V7-Z7-AA7,"")</f>
        <v/>
      </c>
      <c r="AC7" s="70">
        <f>IF(A7="是",MAX(0,AB7*IF(U7="",'经营参数'!$D$27,U7)),"")</f>
        <v/>
      </c>
      <c r="AD7" s="70">
        <f>IF(A7="是",AB7-AC7,"")</f>
        <v/>
      </c>
      <c r="AE7" s="20" t="inlineStr">
        <is>
          <t>黄色格为空时，右侧公式使用经营参数中的基础值；启用后，游戏优先采用本行已计算的结果。</t>
        </is>
      </c>
    </row>
    <row r="8">
      <c r="A8" s="34" t="inlineStr">
        <is>
          <t>否</t>
        </is>
      </c>
      <c r="B8" s="20" t="inlineStr">
        <is>
          <t>2030-05</t>
        </is>
      </c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70">
        <f>IF(A8="是",IF(D8="",'经营参数'!$D$47/12,D8)*IF(E8="",'经营参数'!$D$44,E8)+IF(F8="",0,F8)*IF(G8="",'经营参数'!$D$45,G8)+IF(H8="",0,H8)*IF(I8="",'经营参数'!$D$46,I8),"")</f>
        <v/>
      </c>
      <c r="W8" s="70">
        <f>IF(A8="是",(IF(D8="",'经营参数'!$D$47/12,D8)+IF(F8="",0,F8)+IF(H8="",0,H8))*IF(J8="",'经营参数'!$D$20,J8),"")</f>
        <v/>
      </c>
      <c r="X8" s="70">
        <f>IF(A8="是",(IF(D8="",'经营参数'!$D$47/12,D8)+IF(F8="",0,F8)+IF(H8="",0,H8))*IF(K8="",'经营参数'!$D$22,K8)+IF(L8="",'经营参数'!$D$21/12,L8),"")</f>
        <v/>
      </c>
      <c r="Y8" s="70">
        <f>IF(A8="是",IF(M8="",(IF(D8="",'经营参数'!$D$47/12,D8)+IF(F8="",0,F8)+IF(H8="",0,H8))*'经营参数'!$D$51,M8)*IF(N8="",'经营参数'!$D$29,N8)+IF(O8="",(IF(D8="",'经营参数'!$D$47/12,D8)+IF(F8="",0,F8)+IF(H8="",0,H8))*'经营参数'!$D$52,O8)*IF(P8="",'经营参数'!$D$30,P8),"")</f>
        <v/>
      </c>
      <c r="Z8" s="70">
        <f>IF(A8="是",W8+X8+Y8+IF(Q8="",'经营参数'!$D$25/12,Q8)+IF(R8="",'经营参数'!$D$24/12,R8)+IF(S8="",0,S8),"")</f>
        <v/>
      </c>
      <c r="AA8" s="70">
        <f>IF(A8="是",MAX(0,(V8-Z8)*IF(T8="",'经营参数'!$D$26,T8)),"")</f>
        <v/>
      </c>
      <c r="AB8" s="70">
        <f>IF(A8="是",V8-Z8-AA8,"")</f>
        <v/>
      </c>
      <c r="AC8" s="70">
        <f>IF(A8="是",MAX(0,AB8*IF(U8="",'经营参数'!$D$27,U8)),"")</f>
        <v/>
      </c>
      <c r="AD8" s="70">
        <f>IF(A8="是",AB8-AC8,"")</f>
        <v/>
      </c>
      <c r="AE8" s="20" t="inlineStr">
        <is>
          <t>黄色格为空时，右侧公式使用经营参数中的基础值；启用后，游戏优先采用本行已计算的结果。</t>
        </is>
      </c>
    </row>
    <row r="9">
      <c r="A9" s="34" t="inlineStr">
        <is>
          <t>否</t>
        </is>
      </c>
      <c r="B9" s="20" t="inlineStr">
        <is>
          <t>2030-06</t>
        </is>
      </c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70">
        <f>IF(A9="是",IF(D9="",'经营参数'!$D$47/12,D9)*IF(E9="",'经营参数'!$D$44,E9)+IF(F9="",0,F9)*IF(G9="",'经营参数'!$D$45,G9)+IF(H9="",0,H9)*IF(I9="",'经营参数'!$D$46,I9),"")</f>
        <v/>
      </c>
      <c r="W9" s="70">
        <f>IF(A9="是",(IF(D9="",'经营参数'!$D$47/12,D9)+IF(F9="",0,F9)+IF(H9="",0,H9))*IF(J9="",'经营参数'!$D$20,J9),"")</f>
        <v/>
      </c>
      <c r="X9" s="70">
        <f>IF(A9="是",(IF(D9="",'经营参数'!$D$47/12,D9)+IF(F9="",0,F9)+IF(H9="",0,H9))*IF(K9="",'经营参数'!$D$22,K9)+IF(L9="",'经营参数'!$D$21/12,L9),"")</f>
        <v/>
      </c>
      <c r="Y9" s="70">
        <f>IF(A9="是",IF(M9="",(IF(D9="",'经营参数'!$D$47/12,D9)+IF(F9="",0,F9)+IF(H9="",0,H9))*'经营参数'!$D$51,M9)*IF(N9="",'经营参数'!$D$29,N9)+IF(O9="",(IF(D9="",'经营参数'!$D$47/12,D9)+IF(F9="",0,F9)+IF(H9="",0,H9))*'经营参数'!$D$52,O9)*IF(P9="",'经营参数'!$D$30,P9),"")</f>
        <v/>
      </c>
      <c r="Z9" s="70">
        <f>IF(A9="是",W9+X9+Y9+IF(Q9="",'经营参数'!$D$25/12,Q9)+IF(R9="",'经营参数'!$D$24/12,R9)+IF(S9="",0,S9),"")</f>
        <v/>
      </c>
      <c r="AA9" s="70">
        <f>IF(A9="是",MAX(0,(V9-Z9)*IF(T9="",'经营参数'!$D$26,T9)),"")</f>
        <v/>
      </c>
      <c r="AB9" s="70">
        <f>IF(A9="是",V9-Z9-AA9,"")</f>
        <v/>
      </c>
      <c r="AC9" s="70">
        <f>IF(A9="是",MAX(0,AB9*IF(U9="",'经营参数'!$D$27,U9)),"")</f>
        <v/>
      </c>
      <c r="AD9" s="70">
        <f>IF(A9="是",AB9-AC9,"")</f>
        <v/>
      </c>
      <c r="AE9" s="20" t="inlineStr">
        <is>
          <t>黄色格为空时，右侧公式使用经营参数中的基础值；启用后，游戏优先采用本行已计算的结果。</t>
        </is>
      </c>
    </row>
    <row r="10">
      <c r="A10" s="34" t="inlineStr">
        <is>
          <t>否</t>
        </is>
      </c>
      <c r="B10" s="20" t="inlineStr">
        <is>
          <t>2030-07</t>
        </is>
      </c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70">
        <f>IF(A10="是",IF(D10="",'经营参数'!$D$47/12,D10)*IF(E10="",'经营参数'!$D$44,E10)+IF(F10="",0,F10)*IF(G10="",'经营参数'!$D$45,G10)+IF(H10="",0,H10)*IF(I10="",'经营参数'!$D$46,I10),"")</f>
        <v/>
      </c>
      <c r="W10" s="70">
        <f>IF(A10="是",(IF(D10="",'经营参数'!$D$47/12,D10)+IF(F10="",0,F10)+IF(H10="",0,H10))*IF(J10="",'经营参数'!$D$20,J10),"")</f>
        <v/>
      </c>
      <c r="X10" s="70">
        <f>IF(A10="是",(IF(D10="",'经营参数'!$D$47/12,D10)+IF(F10="",0,F10)+IF(H10="",0,H10))*IF(K10="",'经营参数'!$D$22,K10)+IF(L10="",'经营参数'!$D$21/12,L10),"")</f>
        <v/>
      </c>
      <c r="Y10" s="70">
        <f>IF(A10="是",IF(M10="",(IF(D10="",'经营参数'!$D$47/12,D10)+IF(F10="",0,F10)+IF(H10="",0,H10))*'经营参数'!$D$51,M10)*IF(N10="",'经营参数'!$D$29,N10)+IF(O10="",(IF(D10="",'经营参数'!$D$47/12,D10)+IF(F10="",0,F10)+IF(H10="",0,H10))*'经营参数'!$D$52,O10)*IF(P10="",'经营参数'!$D$30,P10),"")</f>
        <v/>
      </c>
      <c r="Z10" s="70">
        <f>IF(A10="是",W10+X10+Y10+IF(Q10="",'经营参数'!$D$25/12,Q10)+IF(R10="",'经营参数'!$D$24/12,R10)+IF(S10="",0,S10),"")</f>
        <v/>
      </c>
      <c r="AA10" s="70">
        <f>IF(A10="是",MAX(0,(V10-Z10)*IF(T10="",'经营参数'!$D$26,T10)),"")</f>
        <v/>
      </c>
      <c r="AB10" s="70">
        <f>IF(A10="是",V10-Z10-AA10,"")</f>
        <v/>
      </c>
      <c r="AC10" s="70">
        <f>IF(A10="是",MAX(0,AB10*IF(U10="",'经营参数'!$D$27,U10)),"")</f>
        <v/>
      </c>
      <c r="AD10" s="70">
        <f>IF(A10="是",AB10-AC10,"")</f>
        <v/>
      </c>
      <c r="AE10" s="20" t="inlineStr">
        <is>
          <t>黄色格为空时，右侧公式使用经营参数中的基础值；启用后，游戏优先采用本行已计算的结果。</t>
        </is>
      </c>
    </row>
    <row r="11">
      <c r="A11" s="34" t="inlineStr">
        <is>
          <t>否</t>
        </is>
      </c>
      <c r="B11" s="20" t="inlineStr">
        <is>
          <t>2030-08</t>
        </is>
      </c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70">
        <f>IF(A11="是",IF(D11="",'经营参数'!$D$47/12,D11)*IF(E11="",'经营参数'!$D$44,E11)+IF(F11="",0,F11)*IF(G11="",'经营参数'!$D$45,G11)+IF(H11="",0,H11)*IF(I11="",'经营参数'!$D$46,I11),"")</f>
        <v/>
      </c>
      <c r="W11" s="70">
        <f>IF(A11="是",(IF(D11="",'经营参数'!$D$47/12,D11)+IF(F11="",0,F11)+IF(H11="",0,H11))*IF(J11="",'经营参数'!$D$20,J11),"")</f>
        <v/>
      </c>
      <c r="X11" s="70">
        <f>IF(A11="是",(IF(D11="",'经营参数'!$D$47/12,D11)+IF(F11="",0,F11)+IF(H11="",0,H11))*IF(K11="",'经营参数'!$D$22,K11)+IF(L11="",'经营参数'!$D$21/12,L11),"")</f>
        <v/>
      </c>
      <c r="Y11" s="70">
        <f>IF(A11="是",IF(M11="",(IF(D11="",'经营参数'!$D$47/12,D11)+IF(F11="",0,F11)+IF(H11="",0,H11))*'经营参数'!$D$51,M11)*IF(N11="",'经营参数'!$D$29,N11)+IF(O11="",(IF(D11="",'经营参数'!$D$47/12,D11)+IF(F11="",0,F11)+IF(H11="",0,H11))*'经营参数'!$D$52,O11)*IF(P11="",'经营参数'!$D$30,P11),"")</f>
        <v/>
      </c>
      <c r="Z11" s="70">
        <f>IF(A11="是",W11+X11+Y11+IF(Q11="",'经营参数'!$D$25/12,Q11)+IF(R11="",'经营参数'!$D$24/12,R11)+IF(S11="",0,S11),"")</f>
        <v/>
      </c>
      <c r="AA11" s="70">
        <f>IF(A11="是",MAX(0,(V11-Z11)*IF(T11="",'经营参数'!$D$26,T11)),"")</f>
        <v/>
      </c>
      <c r="AB11" s="70">
        <f>IF(A11="是",V11-Z11-AA11,"")</f>
        <v/>
      </c>
      <c r="AC11" s="70">
        <f>IF(A11="是",MAX(0,AB11*IF(U11="",'经营参数'!$D$27,U11)),"")</f>
        <v/>
      </c>
      <c r="AD11" s="70">
        <f>IF(A11="是",AB11-AC11,"")</f>
        <v/>
      </c>
      <c r="AE11" s="20" t="inlineStr">
        <is>
          <t>黄色格为空时，右侧公式使用经营参数中的基础值；启用后，游戏优先采用本行已计算的结果。</t>
        </is>
      </c>
    </row>
    <row r="12">
      <c r="A12" s="34" t="inlineStr">
        <is>
          <t>否</t>
        </is>
      </c>
      <c r="B12" s="20" t="inlineStr">
        <is>
          <t>2030-09</t>
        </is>
      </c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70">
        <f>IF(A12="是",IF(D12="",'经营参数'!$D$47/12,D12)*IF(E12="",'经营参数'!$D$44,E12)+IF(F12="",0,F12)*IF(G12="",'经营参数'!$D$45,G12)+IF(H12="",0,H12)*IF(I12="",'经营参数'!$D$46,I12),"")</f>
        <v/>
      </c>
      <c r="W12" s="70">
        <f>IF(A12="是",(IF(D12="",'经营参数'!$D$47/12,D12)+IF(F12="",0,F12)+IF(H12="",0,H12))*IF(J12="",'经营参数'!$D$20,J12),"")</f>
        <v/>
      </c>
      <c r="X12" s="70">
        <f>IF(A12="是",(IF(D12="",'经营参数'!$D$47/12,D12)+IF(F12="",0,F12)+IF(H12="",0,H12))*IF(K12="",'经营参数'!$D$22,K12)+IF(L12="",'经营参数'!$D$21/12,L12),"")</f>
        <v/>
      </c>
      <c r="Y12" s="70">
        <f>IF(A12="是",IF(M12="",(IF(D12="",'经营参数'!$D$47/12,D12)+IF(F12="",0,F12)+IF(H12="",0,H12))*'经营参数'!$D$51,M12)*IF(N12="",'经营参数'!$D$29,N12)+IF(O12="",(IF(D12="",'经营参数'!$D$47/12,D12)+IF(F12="",0,F12)+IF(H12="",0,H12))*'经营参数'!$D$52,O12)*IF(P12="",'经营参数'!$D$30,P12),"")</f>
        <v/>
      </c>
      <c r="Z12" s="70">
        <f>IF(A12="是",W12+X12+Y12+IF(Q12="",'经营参数'!$D$25/12,Q12)+IF(R12="",'经营参数'!$D$24/12,R12)+IF(S12="",0,S12),"")</f>
        <v/>
      </c>
      <c r="AA12" s="70">
        <f>IF(A12="是",MAX(0,(V12-Z12)*IF(T12="",'经营参数'!$D$26,T12)),"")</f>
        <v/>
      </c>
      <c r="AB12" s="70">
        <f>IF(A12="是",V12-Z12-AA12,"")</f>
        <v/>
      </c>
      <c r="AC12" s="70">
        <f>IF(A12="是",MAX(0,AB12*IF(U12="",'经营参数'!$D$27,U12)),"")</f>
        <v/>
      </c>
      <c r="AD12" s="70">
        <f>IF(A12="是",AB12-AC12,"")</f>
        <v/>
      </c>
      <c r="AE12" s="20" t="inlineStr">
        <is>
          <t>黄色格为空时，右侧公式使用经营参数中的基础值；启用后，游戏优先采用本行已计算的结果。</t>
        </is>
      </c>
    </row>
    <row r="13">
      <c r="A13" s="34" t="inlineStr">
        <is>
          <t>否</t>
        </is>
      </c>
      <c r="B13" s="20" t="inlineStr">
        <is>
          <t>2030-10</t>
        </is>
      </c>
      <c r="C13" s="63" t="n"/>
      <c r="D13" s="63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70">
        <f>IF(A13="是",IF(D13="",'经营参数'!$D$47/12,D13)*IF(E13="",'经营参数'!$D$44,E13)+IF(F13="",0,F13)*IF(G13="",'经营参数'!$D$45,G13)+IF(H13="",0,H13)*IF(I13="",'经营参数'!$D$46,I13),"")</f>
        <v/>
      </c>
      <c r="W13" s="70">
        <f>IF(A13="是",(IF(D13="",'经营参数'!$D$47/12,D13)+IF(F13="",0,F13)+IF(H13="",0,H13))*IF(J13="",'经营参数'!$D$20,J13),"")</f>
        <v/>
      </c>
      <c r="X13" s="70">
        <f>IF(A13="是",(IF(D13="",'经营参数'!$D$47/12,D13)+IF(F13="",0,F13)+IF(H13="",0,H13))*IF(K13="",'经营参数'!$D$22,K13)+IF(L13="",'经营参数'!$D$21/12,L13),"")</f>
        <v/>
      </c>
      <c r="Y13" s="70">
        <f>IF(A13="是",IF(M13="",(IF(D13="",'经营参数'!$D$47/12,D13)+IF(F13="",0,F13)+IF(H13="",0,H13))*'经营参数'!$D$51,M13)*IF(N13="",'经营参数'!$D$29,N13)+IF(O13="",(IF(D13="",'经营参数'!$D$47/12,D13)+IF(F13="",0,F13)+IF(H13="",0,H13))*'经营参数'!$D$52,O13)*IF(P13="",'经营参数'!$D$30,P13),"")</f>
        <v/>
      </c>
      <c r="Z13" s="70">
        <f>IF(A13="是",W13+X13+Y13+IF(Q13="",'经营参数'!$D$25/12,Q13)+IF(R13="",'经营参数'!$D$24/12,R13)+IF(S13="",0,S13),"")</f>
        <v/>
      </c>
      <c r="AA13" s="70">
        <f>IF(A13="是",MAX(0,(V13-Z13)*IF(T13="",'经营参数'!$D$26,T13)),"")</f>
        <v/>
      </c>
      <c r="AB13" s="70">
        <f>IF(A13="是",V13-Z13-AA13,"")</f>
        <v/>
      </c>
      <c r="AC13" s="70">
        <f>IF(A13="是",MAX(0,AB13*IF(U13="",'经营参数'!$D$27,U13)),"")</f>
        <v/>
      </c>
      <c r="AD13" s="70">
        <f>IF(A13="是",AB13-AC13,"")</f>
        <v/>
      </c>
      <c r="AE13" s="20" t="inlineStr">
        <is>
          <t>黄色格为空时，右侧公式使用经营参数中的基础值；启用后，游戏优先采用本行已计算的结果。</t>
        </is>
      </c>
    </row>
    <row r="14">
      <c r="A14" s="34" t="inlineStr">
        <is>
          <t>否</t>
        </is>
      </c>
      <c r="B14" s="20" t="inlineStr">
        <is>
          <t>2030-11</t>
        </is>
      </c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70">
        <f>IF(A14="是",IF(D14="",'经营参数'!$D$47/12,D14)*IF(E14="",'经营参数'!$D$44,E14)+IF(F14="",0,F14)*IF(G14="",'经营参数'!$D$45,G14)+IF(H14="",0,H14)*IF(I14="",'经营参数'!$D$46,I14),"")</f>
        <v/>
      </c>
      <c r="W14" s="70">
        <f>IF(A14="是",(IF(D14="",'经营参数'!$D$47/12,D14)+IF(F14="",0,F14)+IF(H14="",0,H14))*IF(J14="",'经营参数'!$D$20,J14),"")</f>
        <v/>
      </c>
      <c r="X14" s="70">
        <f>IF(A14="是",(IF(D14="",'经营参数'!$D$47/12,D14)+IF(F14="",0,F14)+IF(H14="",0,H14))*IF(K14="",'经营参数'!$D$22,K14)+IF(L14="",'经营参数'!$D$21/12,L14),"")</f>
        <v/>
      </c>
      <c r="Y14" s="70">
        <f>IF(A14="是",IF(M14="",(IF(D14="",'经营参数'!$D$47/12,D14)+IF(F14="",0,F14)+IF(H14="",0,H14))*'经营参数'!$D$51,M14)*IF(N14="",'经营参数'!$D$29,N14)+IF(O14="",(IF(D14="",'经营参数'!$D$47/12,D14)+IF(F14="",0,F14)+IF(H14="",0,H14))*'经营参数'!$D$52,O14)*IF(P14="",'经营参数'!$D$30,P14),"")</f>
        <v/>
      </c>
      <c r="Z14" s="70">
        <f>IF(A14="是",W14+X14+Y14+IF(Q14="",'经营参数'!$D$25/12,Q14)+IF(R14="",'经营参数'!$D$24/12,R14)+IF(S14="",0,S14),"")</f>
        <v/>
      </c>
      <c r="AA14" s="70">
        <f>IF(A14="是",MAX(0,(V14-Z14)*IF(T14="",'经营参数'!$D$26,T14)),"")</f>
        <v/>
      </c>
      <c r="AB14" s="70">
        <f>IF(A14="是",V14-Z14-AA14,"")</f>
        <v/>
      </c>
      <c r="AC14" s="70">
        <f>IF(A14="是",MAX(0,AB14*IF(U14="",'经营参数'!$D$27,U14)),"")</f>
        <v/>
      </c>
      <c r="AD14" s="70">
        <f>IF(A14="是",AB14-AC14,"")</f>
        <v/>
      </c>
      <c r="AE14" s="20" t="inlineStr">
        <is>
          <t>黄色格为空时，右侧公式使用经营参数中的基础值；启用后，游戏优先采用本行已计算的结果。</t>
        </is>
      </c>
    </row>
    <row r="15">
      <c r="A15" s="34" t="inlineStr">
        <is>
          <t>否</t>
        </is>
      </c>
      <c r="B15" s="20" t="inlineStr">
        <is>
          <t>2030-12</t>
        </is>
      </c>
      <c r="C15" s="63" t="n"/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70">
        <f>IF(A15="是",IF(D15="",'经营参数'!$D$47/12,D15)*IF(E15="",'经营参数'!$D$44,E15)+IF(F15="",0,F15)*IF(G15="",'经营参数'!$D$45,G15)+IF(H15="",0,H15)*IF(I15="",'经营参数'!$D$46,I15),"")</f>
        <v/>
      </c>
      <c r="W15" s="70">
        <f>IF(A15="是",(IF(D15="",'经营参数'!$D$47/12,D15)+IF(F15="",0,F15)+IF(H15="",0,H15))*IF(J15="",'经营参数'!$D$20,J15),"")</f>
        <v/>
      </c>
      <c r="X15" s="70">
        <f>IF(A15="是",(IF(D15="",'经营参数'!$D$47/12,D15)+IF(F15="",0,F15)+IF(H15="",0,H15))*IF(K15="",'经营参数'!$D$22,K15)+IF(L15="",'经营参数'!$D$21/12,L15),"")</f>
        <v/>
      </c>
      <c r="Y15" s="70">
        <f>IF(A15="是",IF(M15="",(IF(D15="",'经营参数'!$D$47/12,D15)+IF(F15="",0,F15)+IF(H15="",0,H15))*'经营参数'!$D$51,M15)*IF(N15="",'经营参数'!$D$29,N15)+IF(O15="",(IF(D15="",'经营参数'!$D$47/12,D15)+IF(F15="",0,F15)+IF(H15="",0,H15))*'经营参数'!$D$52,O15)*IF(P15="",'经营参数'!$D$30,P15),"")</f>
        <v/>
      </c>
      <c r="Z15" s="70">
        <f>IF(A15="是",W15+X15+Y15+IF(Q15="",'经营参数'!$D$25/12,Q15)+IF(R15="",'经营参数'!$D$24/12,R15)+IF(S15="",0,S15),"")</f>
        <v/>
      </c>
      <c r="AA15" s="70">
        <f>IF(A15="是",MAX(0,(V15-Z15)*IF(T15="",'经营参数'!$D$26,T15)),"")</f>
        <v/>
      </c>
      <c r="AB15" s="70">
        <f>IF(A15="是",V15-Z15-AA15,"")</f>
        <v/>
      </c>
      <c r="AC15" s="70">
        <f>IF(A15="是",MAX(0,AB15*IF(U15="",'经营参数'!$D$27,U15)),"")</f>
        <v/>
      </c>
      <c r="AD15" s="70">
        <f>IF(A15="是",AB15-AC15,"")</f>
        <v/>
      </c>
      <c r="AE15" s="20" t="inlineStr">
        <is>
          <t>黄色格为空时，右侧公式使用经营参数中的基础值；启用后，游戏优先采用本行已计算的结果。</t>
        </is>
      </c>
    </row>
    <row r="16">
      <c r="A16" s="34" t="inlineStr">
        <is>
          <t>否</t>
        </is>
      </c>
      <c r="B16" s="20" t="inlineStr">
        <is>
          <t>2031-01</t>
        </is>
      </c>
      <c r="C16" s="63" t="n"/>
      <c r="D16" s="63" t="n"/>
      <c r="E16" s="63" t="n"/>
      <c r="F16" s="63" t="n"/>
      <c r="G16" s="63" t="n"/>
      <c r="H16" s="63" t="n"/>
      <c r="I16" s="63" t="n"/>
      <c r="J16" s="63" t="n"/>
      <c r="K16" s="63" t="n"/>
      <c r="L16" s="63" t="n"/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70">
        <f>IF(A16="是",IF(D16="",'经营参数'!$D$47/12,D16)*IF(E16="",'经营参数'!$D$44,E16)+IF(F16="",0,F16)*IF(G16="",'经营参数'!$D$45,G16)+IF(H16="",0,H16)*IF(I16="",'经营参数'!$D$46,I16),"")</f>
        <v/>
      </c>
      <c r="W16" s="70">
        <f>IF(A16="是",(IF(D16="",'经营参数'!$D$47/12,D16)+IF(F16="",0,F16)+IF(H16="",0,H16))*IF(J16="",'经营参数'!$D$20,J16),"")</f>
        <v/>
      </c>
      <c r="X16" s="70">
        <f>IF(A16="是",(IF(D16="",'经营参数'!$D$47/12,D16)+IF(F16="",0,F16)+IF(H16="",0,H16))*IF(K16="",'经营参数'!$D$22,K16)+IF(L16="",'经营参数'!$D$21/12,L16),"")</f>
        <v/>
      </c>
      <c r="Y16" s="70">
        <f>IF(A16="是",IF(M16="",(IF(D16="",'经营参数'!$D$47/12,D16)+IF(F16="",0,F16)+IF(H16="",0,H16))*'经营参数'!$D$51,M16)*IF(N16="",'经营参数'!$D$29,N16)+IF(O16="",(IF(D16="",'经营参数'!$D$47/12,D16)+IF(F16="",0,F16)+IF(H16="",0,H16))*'经营参数'!$D$52,O16)*IF(P16="",'经营参数'!$D$30,P16),"")</f>
        <v/>
      </c>
      <c r="Z16" s="70">
        <f>IF(A16="是",W16+X16+Y16+IF(Q16="",'经营参数'!$D$25/12,Q16)+IF(R16="",'经营参数'!$D$24/12,R16)+IF(S16="",0,S16),"")</f>
        <v/>
      </c>
      <c r="AA16" s="70">
        <f>IF(A16="是",MAX(0,(V16-Z16)*IF(T16="",'经营参数'!$D$26,T16)),"")</f>
        <v/>
      </c>
      <c r="AB16" s="70">
        <f>IF(A16="是",V16-Z16-AA16,"")</f>
        <v/>
      </c>
      <c r="AC16" s="70">
        <f>IF(A16="是",MAX(0,AB16*IF(U16="",'经营参数'!$D$27,U16)),"")</f>
        <v/>
      </c>
      <c r="AD16" s="70">
        <f>IF(A16="是",AB16-AC16,"")</f>
        <v/>
      </c>
      <c r="AE16" s="20" t="inlineStr">
        <is>
          <t>黄色格为空时，右侧公式使用经营参数中的基础值；启用后，游戏优先采用本行已计算的结果。</t>
        </is>
      </c>
    </row>
    <row r="17">
      <c r="A17" s="34" t="inlineStr">
        <is>
          <t>否</t>
        </is>
      </c>
      <c r="B17" s="20" t="inlineStr">
        <is>
          <t>2031-02</t>
        </is>
      </c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70">
        <f>IF(A17="是",IF(D17="",'经营参数'!$D$47/12,D17)*IF(E17="",'经营参数'!$D$44,E17)+IF(F17="",0,F17)*IF(G17="",'经营参数'!$D$45,G17)+IF(H17="",0,H17)*IF(I17="",'经营参数'!$D$46,I17),"")</f>
        <v/>
      </c>
      <c r="W17" s="70">
        <f>IF(A17="是",(IF(D17="",'经营参数'!$D$47/12,D17)+IF(F17="",0,F17)+IF(H17="",0,H17))*IF(J17="",'经营参数'!$D$20,J17),"")</f>
        <v/>
      </c>
      <c r="X17" s="70">
        <f>IF(A17="是",(IF(D17="",'经营参数'!$D$47/12,D17)+IF(F17="",0,F17)+IF(H17="",0,H17))*IF(K17="",'经营参数'!$D$22,K17)+IF(L17="",'经营参数'!$D$21/12,L17),"")</f>
        <v/>
      </c>
      <c r="Y17" s="70">
        <f>IF(A17="是",IF(M17="",(IF(D17="",'经营参数'!$D$47/12,D17)+IF(F17="",0,F17)+IF(H17="",0,H17))*'经营参数'!$D$51,M17)*IF(N17="",'经营参数'!$D$29,N17)+IF(O17="",(IF(D17="",'经营参数'!$D$47/12,D17)+IF(F17="",0,F17)+IF(H17="",0,H17))*'经营参数'!$D$52,O17)*IF(P17="",'经营参数'!$D$30,P17),"")</f>
        <v/>
      </c>
      <c r="Z17" s="70">
        <f>IF(A17="是",W17+X17+Y17+IF(Q17="",'经营参数'!$D$25/12,Q17)+IF(R17="",'经营参数'!$D$24/12,R17)+IF(S17="",0,S17),"")</f>
        <v/>
      </c>
      <c r="AA17" s="70">
        <f>IF(A17="是",MAX(0,(V17-Z17)*IF(T17="",'经营参数'!$D$26,T17)),"")</f>
        <v/>
      </c>
      <c r="AB17" s="70">
        <f>IF(A17="是",V17-Z17-AA17,"")</f>
        <v/>
      </c>
      <c r="AC17" s="70">
        <f>IF(A17="是",MAX(0,AB17*IF(U17="",'经营参数'!$D$27,U17)),"")</f>
        <v/>
      </c>
      <c r="AD17" s="70">
        <f>IF(A17="是",AB17-AC17,"")</f>
        <v/>
      </c>
      <c r="AE17" s="20" t="inlineStr">
        <is>
          <t>黄色格为空时，右侧公式使用经营参数中的基础值；启用后，游戏优先采用本行已计算的结果。</t>
        </is>
      </c>
    </row>
    <row r="18">
      <c r="A18" s="34" t="inlineStr">
        <is>
          <t>否</t>
        </is>
      </c>
      <c r="B18" s="20" t="inlineStr">
        <is>
          <t>2031-03</t>
        </is>
      </c>
      <c r="C18" s="63" t="n"/>
      <c r="D18" s="63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70">
        <f>IF(A18="是",IF(D18="",'经营参数'!$D$47/12,D18)*IF(E18="",'经营参数'!$D$44,E18)+IF(F18="",0,F18)*IF(G18="",'经营参数'!$D$45,G18)+IF(H18="",0,H18)*IF(I18="",'经营参数'!$D$46,I18),"")</f>
        <v/>
      </c>
      <c r="W18" s="70">
        <f>IF(A18="是",(IF(D18="",'经营参数'!$D$47/12,D18)+IF(F18="",0,F18)+IF(H18="",0,H18))*IF(J18="",'经营参数'!$D$20,J18),"")</f>
        <v/>
      </c>
      <c r="X18" s="70">
        <f>IF(A18="是",(IF(D18="",'经营参数'!$D$47/12,D18)+IF(F18="",0,F18)+IF(H18="",0,H18))*IF(K18="",'经营参数'!$D$22,K18)+IF(L18="",'经营参数'!$D$21/12,L18),"")</f>
        <v/>
      </c>
      <c r="Y18" s="70">
        <f>IF(A18="是",IF(M18="",(IF(D18="",'经营参数'!$D$47/12,D18)+IF(F18="",0,F18)+IF(H18="",0,H18))*'经营参数'!$D$51,M18)*IF(N18="",'经营参数'!$D$29,N18)+IF(O18="",(IF(D18="",'经营参数'!$D$47/12,D18)+IF(F18="",0,F18)+IF(H18="",0,H18))*'经营参数'!$D$52,O18)*IF(P18="",'经营参数'!$D$30,P18),"")</f>
        <v/>
      </c>
      <c r="Z18" s="70">
        <f>IF(A18="是",W18+X18+Y18+IF(Q18="",'经营参数'!$D$25/12,Q18)+IF(R18="",'经营参数'!$D$24/12,R18)+IF(S18="",0,S18),"")</f>
        <v/>
      </c>
      <c r="AA18" s="70">
        <f>IF(A18="是",MAX(0,(V18-Z18)*IF(T18="",'经营参数'!$D$26,T18)),"")</f>
        <v/>
      </c>
      <c r="AB18" s="70">
        <f>IF(A18="是",V18-Z18-AA18,"")</f>
        <v/>
      </c>
      <c r="AC18" s="70">
        <f>IF(A18="是",MAX(0,AB18*IF(U18="",'经营参数'!$D$27,U18)),"")</f>
        <v/>
      </c>
      <c r="AD18" s="70">
        <f>IF(A18="是",AB18-AC18,"")</f>
        <v/>
      </c>
      <c r="AE18" s="20" t="inlineStr">
        <is>
          <t>黄色格为空时，右侧公式使用经营参数中的基础值；启用后，游戏优先采用本行已计算的结果。</t>
        </is>
      </c>
    </row>
    <row r="19">
      <c r="A19" s="34" t="inlineStr">
        <is>
          <t>否</t>
        </is>
      </c>
      <c r="B19" s="20" t="inlineStr">
        <is>
          <t>2031-04</t>
        </is>
      </c>
      <c r="C19" s="63" t="n"/>
      <c r="D19" s="63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70">
        <f>IF(A19="是",IF(D19="",'经营参数'!$D$47/12,D19)*IF(E19="",'经营参数'!$D$44,E19)+IF(F19="",0,F19)*IF(G19="",'经营参数'!$D$45,G19)+IF(H19="",0,H19)*IF(I19="",'经营参数'!$D$46,I19),"")</f>
        <v/>
      </c>
      <c r="W19" s="70">
        <f>IF(A19="是",(IF(D19="",'经营参数'!$D$47/12,D19)+IF(F19="",0,F19)+IF(H19="",0,H19))*IF(J19="",'经营参数'!$D$20,J19),"")</f>
        <v/>
      </c>
      <c r="X19" s="70">
        <f>IF(A19="是",(IF(D19="",'经营参数'!$D$47/12,D19)+IF(F19="",0,F19)+IF(H19="",0,H19))*IF(K19="",'经营参数'!$D$22,K19)+IF(L19="",'经营参数'!$D$21/12,L19),"")</f>
        <v/>
      </c>
      <c r="Y19" s="70">
        <f>IF(A19="是",IF(M19="",(IF(D19="",'经营参数'!$D$47/12,D19)+IF(F19="",0,F19)+IF(H19="",0,H19))*'经营参数'!$D$51,M19)*IF(N19="",'经营参数'!$D$29,N19)+IF(O19="",(IF(D19="",'经营参数'!$D$47/12,D19)+IF(F19="",0,F19)+IF(H19="",0,H19))*'经营参数'!$D$52,O19)*IF(P19="",'经营参数'!$D$30,P19),"")</f>
        <v/>
      </c>
      <c r="Z19" s="70">
        <f>IF(A19="是",W19+X19+Y19+IF(Q19="",'经营参数'!$D$25/12,Q19)+IF(R19="",'经营参数'!$D$24/12,R19)+IF(S19="",0,S19),"")</f>
        <v/>
      </c>
      <c r="AA19" s="70">
        <f>IF(A19="是",MAX(0,(V19-Z19)*IF(T19="",'经营参数'!$D$26,T19)),"")</f>
        <v/>
      </c>
      <c r="AB19" s="70">
        <f>IF(A19="是",V19-Z19-AA19,"")</f>
        <v/>
      </c>
      <c r="AC19" s="70">
        <f>IF(A19="是",MAX(0,AB19*IF(U19="",'经营参数'!$D$27,U19)),"")</f>
        <v/>
      </c>
      <c r="AD19" s="70">
        <f>IF(A19="是",AB19-AC19,"")</f>
        <v/>
      </c>
      <c r="AE19" s="20" t="inlineStr">
        <is>
          <t>黄色格为空时，右侧公式使用经营参数中的基础值；启用后，游戏优先采用本行已计算的结果。</t>
        </is>
      </c>
    </row>
    <row r="20">
      <c r="A20" s="34" t="inlineStr">
        <is>
          <t>否</t>
        </is>
      </c>
      <c r="B20" s="20" t="inlineStr">
        <is>
          <t>2031-05</t>
        </is>
      </c>
      <c r="C20" s="63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3" t="n"/>
      <c r="Q20" s="63" t="n"/>
      <c r="R20" s="63" t="n"/>
      <c r="S20" s="63" t="n"/>
      <c r="T20" s="63" t="n"/>
      <c r="U20" s="63" t="n"/>
      <c r="V20" s="70">
        <f>IF(A20="是",IF(D20="",'经营参数'!$D$47/12,D20)*IF(E20="",'经营参数'!$D$44,E20)+IF(F20="",0,F20)*IF(G20="",'经营参数'!$D$45,G20)+IF(H20="",0,H20)*IF(I20="",'经营参数'!$D$46,I20),"")</f>
        <v/>
      </c>
      <c r="W20" s="70">
        <f>IF(A20="是",(IF(D20="",'经营参数'!$D$47/12,D20)+IF(F20="",0,F20)+IF(H20="",0,H20))*IF(J20="",'经营参数'!$D$20,J20),"")</f>
        <v/>
      </c>
      <c r="X20" s="70">
        <f>IF(A20="是",(IF(D20="",'经营参数'!$D$47/12,D20)+IF(F20="",0,F20)+IF(H20="",0,H20))*IF(K20="",'经营参数'!$D$22,K20)+IF(L20="",'经营参数'!$D$21/12,L20),"")</f>
        <v/>
      </c>
      <c r="Y20" s="70">
        <f>IF(A20="是",IF(M20="",(IF(D20="",'经营参数'!$D$47/12,D20)+IF(F20="",0,F20)+IF(H20="",0,H20))*'经营参数'!$D$51,M20)*IF(N20="",'经营参数'!$D$29,N20)+IF(O20="",(IF(D20="",'经营参数'!$D$47/12,D20)+IF(F20="",0,F20)+IF(H20="",0,H20))*'经营参数'!$D$52,O20)*IF(P20="",'经营参数'!$D$30,P20),"")</f>
        <v/>
      </c>
      <c r="Z20" s="70">
        <f>IF(A20="是",W20+X20+Y20+IF(Q20="",'经营参数'!$D$25/12,Q20)+IF(R20="",'经营参数'!$D$24/12,R20)+IF(S20="",0,S20),"")</f>
        <v/>
      </c>
      <c r="AA20" s="70">
        <f>IF(A20="是",MAX(0,(V20-Z20)*IF(T20="",'经营参数'!$D$26,T20)),"")</f>
        <v/>
      </c>
      <c r="AB20" s="70">
        <f>IF(A20="是",V20-Z20-AA20,"")</f>
        <v/>
      </c>
      <c r="AC20" s="70">
        <f>IF(A20="是",MAX(0,AB20*IF(U20="",'经营参数'!$D$27,U20)),"")</f>
        <v/>
      </c>
      <c r="AD20" s="70">
        <f>IF(A20="是",AB20-AC20,"")</f>
        <v/>
      </c>
      <c r="AE20" s="20" t="inlineStr">
        <is>
          <t>黄色格为空时，右侧公式使用经营参数中的基础值；启用后，游戏优先采用本行已计算的结果。</t>
        </is>
      </c>
    </row>
    <row r="21">
      <c r="A21" s="34" t="inlineStr">
        <is>
          <t>否</t>
        </is>
      </c>
      <c r="B21" s="20" t="inlineStr">
        <is>
          <t>2031-06</t>
        </is>
      </c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70">
        <f>IF(A21="是",IF(D21="",'经营参数'!$D$47/12,D21)*IF(E21="",'经营参数'!$D$44,E21)+IF(F21="",0,F21)*IF(G21="",'经营参数'!$D$45,G21)+IF(H21="",0,H21)*IF(I21="",'经营参数'!$D$46,I21),"")</f>
        <v/>
      </c>
      <c r="W21" s="70">
        <f>IF(A21="是",(IF(D21="",'经营参数'!$D$47/12,D21)+IF(F21="",0,F21)+IF(H21="",0,H21))*IF(J21="",'经营参数'!$D$20,J21),"")</f>
        <v/>
      </c>
      <c r="X21" s="70">
        <f>IF(A21="是",(IF(D21="",'经营参数'!$D$47/12,D21)+IF(F21="",0,F21)+IF(H21="",0,H21))*IF(K21="",'经营参数'!$D$22,K21)+IF(L21="",'经营参数'!$D$21/12,L21),"")</f>
        <v/>
      </c>
      <c r="Y21" s="70">
        <f>IF(A21="是",IF(M21="",(IF(D21="",'经营参数'!$D$47/12,D21)+IF(F21="",0,F21)+IF(H21="",0,H21))*'经营参数'!$D$51,M21)*IF(N21="",'经营参数'!$D$29,N21)+IF(O21="",(IF(D21="",'经营参数'!$D$47/12,D21)+IF(F21="",0,F21)+IF(H21="",0,H21))*'经营参数'!$D$52,O21)*IF(P21="",'经营参数'!$D$30,P21),"")</f>
        <v/>
      </c>
      <c r="Z21" s="70">
        <f>IF(A21="是",W21+X21+Y21+IF(Q21="",'经营参数'!$D$25/12,Q21)+IF(R21="",'经营参数'!$D$24/12,R21)+IF(S21="",0,S21),"")</f>
        <v/>
      </c>
      <c r="AA21" s="70">
        <f>IF(A21="是",MAX(0,(V21-Z21)*IF(T21="",'经营参数'!$D$26,T21)),"")</f>
        <v/>
      </c>
      <c r="AB21" s="70">
        <f>IF(A21="是",V21-Z21-AA21,"")</f>
        <v/>
      </c>
      <c r="AC21" s="70">
        <f>IF(A21="是",MAX(0,AB21*IF(U21="",'经营参数'!$D$27,U21)),"")</f>
        <v/>
      </c>
      <c r="AD21" s="70">
        <f>IF(A21="是",AB21-AC21,"")</f>
        <v/>
      </c>
      <c r="AE21" s="20" t="inlineStr">
        <is>
          <t>黄色格为空时，右侧公式使用经营参数中的基础值；启用后，游戏优先采用本行已计算的结果。</t>
        </is>
      </c>
    </row>
    <row r="22">
      <c r="A22" s="34" t="inlineStr">
        <is>
          <t>否</t>
        </is>
      </c>
      <c r="B22" s="20" t="inlineStr">
        <is>
          <t>2031-07</t>
        </is>
      </c>
      <c r="C22" s="63" t="n"/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70">
        <f>IF(A22="是",IF(D22="",'经营参数'!$D$47/12,D22)*IF(E22="",'经营参数'!$D$44,E22)+IF(F22="",0,F22)*IF(G22="",'经营参数'!$D$45,G22)+IF(H22="",0,H22)*IF(I22="",'经营参数'!$D$46,I22),"")</f>
        <v/>
      </c>
      <c r="W22" s="70">
        <f>IF(A22="是",(IF(D22="",'经营参数'!$D$47/12,D22)+IF(F22="",0,F22)+IF(H22="",0,H22))*IF(J22="",'经营参数'!$D$20,J22),"")</f>
        <v/>
      </c>
      <c r="X22" s="70">
        <f>IF(A22="是",(IF(D22="",'经营参数'!$D$47/12,D22)+IF(F22="",0,F22)+IF(H22="",0,H22))*IF(K22="",'经营参数'!$D$22,K22)+IF(L22="",'经营参数'!$D$21/12,L22),"")</f>
        <v/>
      </c>
      <c r="Y22" s="70">
        <f>IF(A22="是",IF(M22="",(IF(D22="",'经营参数'!$D$47/12,D22)+IF(F22="",0,F22)+IF(H22="",0,H22))*'经营参数'!$D$51,M22)*IF(N22="",'经营参数'!$D$29,N22)+IF(O22="",(IF(D22="",'经营参数'!$D$47/12,D22)+IF(F22="",0,F22)+IF(H22="",0,H22))*'经营参数'!$D$52,O22)*IF(P22="",'经营参数'!$D$30,P22),"")</f>
        <v/>
      </c>
      <c r="Z22" s="70">
        <f>IF(A22="是",W22+X22+Y22+IF(Q22="",'经营参数'!$D$25/12,Q22)+IF(R22="",'经营参数'!$D$24/12,R22)+IF(S22="",0,S22),"")</f>
        <v/>
      </c>
      <c r="AA22" s="70">
        <f>IF(A22="是",MAX(0,(V22-Z22)*IF(T22="",'经营参数'!$D$26,T22)),"")</f>
        <v/>
      </c>
      <c r="AB22" s="70">
        <f>IF(A22="是",V22-Z22-AA22,"")</f>
        <v/>
      </c>
      <c r="AC22" s="70">
        <f>IF(A22="是",MAX(0,AB22*IF(U22="",'经营参数'!$D$27,U22)),"")</f>
        <v/>
      </c>
      <c r="AD22" s="70">
        <f>IF(A22="是",AB22-AC22,"")</f>
        <v/>
      </c>
      <c r="AE22" s="20" t="inlineStr">
        <is>
          <t>黄色格为空时，右侧公式使用经营参数中的基础值；启用后，游戏优先采用本行已计算的结果。</t>
        </is>
      </c>
    </row>
    <row r="23">
      <c r="A23" s="34" t="inlineStr">
        <is>
          <t>否</t>
        </is>
      </c>
      <c r="B23" s="20" t="inlineStr">
        <is>
          <t>2031-08</t>
        </is>
      </c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70">
        <f>IF(A23="是",IF(D23="",'经营参数'!$D$47/12,D23)*IF(E23="",'经营参数'!$D$44,E23)+IF(F23="",0,F23)*IF(G23="",'经营参数'!$D$45,G23)+IF(H23="",0,H23)*IF(I23="",'经营参数'!$D$46,I23),"")</f>
        <v/>
      </c>
      <c r="W23" s="70">
        <f>IF(A23="是",(IF(D23="",'经营参数'!$D$47/12,D23)+IF(F23="",0,F23)+IF(H23="",0,H23))*IF(J23="",'经营参数'!$D$20,J23),"")</f>
        <v/>
      </c>
      <c r="X23" s="70">
        <f>IF(A23="是",(IF(D23="",'经营参数'!$D$47/12,D23)+IF(F23="",0,F23)+IF(H23="",0,H23))*IF(K23="",'经营参数'!$D$22,K23)+IF(L23="",'经营参数'!$D$21/12,L23),"")</f>
        <v/>
      </c>
      <c r="Y23" s="70">
        <f>IF(A23="是",IF(M23="",(IF(D23="",'经营参数'!$D$47/12,D23)+IF(F23="",0,F23)+IF(H23="",0,H23))*'经营参数'!$D$51,M23)*IF(N23="",'经营参数'!$D$29,N23)+IF(O23="",(IF(D23="",'经营参数'!$D$47/12,D23)+IF(F23="",0,F23)+IF(H23="",0,H23))*'经营参数'!$D$52,O23)*IF(P23="",'经营参数'!$D$30,P23),"")</f>
        <v/>
      </c>
      <c r="Z23" s="70">
        <f>IF(A23="是",W23+X23+Y23+IF(Q23="",'经营参数'!$D$25/12,Q23)+IF(R23="",'经营参数'!$D$24/12,R23)+IF(S23="",0,S23),"")</f>
        <v/>
      </c>
      <c r="AA23" s="70">
        <f>IF(A23="是",MAX(0,(V23-Z23)*IF(T23="",'经营参数'!$D$26,T23)),"")</f>
        <v/>
      </c>
      <c r="AB23" s="70">
        <f>IF(A23="是",V23-Z23-AA23,"")</f>
        <v/>
      </c>
      <c r="AC23" s="70">
        <f>IF(A23="是",MAX(0,AB23*IF(U23="",'经营参数'!$D$27,U23)),"")</f>
        <v/>
      </c>
      <c r="AD23" s="70">
        <f>IF(A23="是",AB23-AC23,"")</f>
        <v/>
      </c>
      <c r="AE23" s="20" t="inlineStr">
        <is>
          <t>黄色格为空时，右侧公式使用经营参数中的基础值；启用后，游戏优先采用本行已计算的结果。</t>
        </is>
      </c>
    </row>
    <row r="24">
      <c r="A24" s="34" t="inlineStr">
        <is>
          <t>否</t>
        </is>
      </c>
      <c r="B24" s="20" t="inlineStr">
        <is>
          <t>2031-09</t>
        </is>
      </c>
      <c r="C24" s="63" t="n"/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70">
        <f>IF(A24="是",IF(D24="",'经营参数'!$D$47/12,D24)*IF(E24="",'经营参数'!$D$44,E24)+IF(F24="",0,F24)*IF(G24="",'经营参数'!$D$45,G24)+IF(H24="",0,H24)*IF(I24="",'经营参数'!$D$46,I24),"")</f>
        <v/>
      </c>
      <c r="W24" s="70">
        <f>IF(A24="是",(IF(D24="",'经营参数'!$D$47/12,D24)+IF(F24="",0,F24)+IF(H24="",0,H24))*IF(J24="",'经营参数'!$D$20,J24),"")</f>
        <v/>
      </c>
      <c r="X24" s="70">
        <f>IF(A24="是",(IF(D24="",'经营参数'!$D$47/12,D24)+IF(F24="",0,F24)+IF(H24="",0,H24))*IF(K24="",'经营参数'!$D$22,K24)+IF(L24="",'经营参数'!$D$21/12,L24),"")</f>
        <v/>
      </c>
      <c r="Y24" s="70">
        <f>IF(A24="是",IF(M24="",(IF(D24="",'经营参数'!$D$47/12,D24)+IF(F24="",0,F24)+IF(H24="",0,H24))*'经营参数'!$D$51,M24)*IF(N24="",'经营参数'!$D$29,N24)+IF(O24="",(IF(D24="",'经营参数'!$D$47/12,D24)+IF(F24="",0,F24)+IF(H24="",0,H24))*'经营参数'!$D$52,O24)*IF(P24="",'经营参数'!$D$30,P24),"")</f>
        <v/>
      </c>
      <c r="Z24" s="70">
        <f>IF(A24="是",W24+X24+Y24+IF(Q24="",'经营参数'!$D$25/12,Q24)+IF(R24="",'经营参数'!$D$24/12,R24)+IF(S24="",0,S24),"")</f>
        <v/>
      </c>
      <c r="AA24" s="70">
        <f>IF(A24="是",MAX(0,(V24-Z24)*IF(T24="",'经营参数'!$D$26,T24)),"")</f>
        <v/>
      </c>
      <c r="AB24" s="70">
        <f>IF(A24="是",V24-Z24-AA24,"")</f>
        <v/>
      </c>
      <c r="AC24" s="70">
        <f>IF(A24="是",MAX(0,AB24*IF(U24="",'经营参数'!$D$27,U24)),"")</f>
        <v/>
      </c>
      <c r="AD24" s="70">
        <f>IF(A24="是",AB24-AC24,"")</f>
        <v/>
      </c>
      <c r="AE24" s="20" t="inlineStr">
        <is>
          <t>黄色格为空时，右侧公式使用经营参数中的基础值；启用后，游戏优先采用本行已计算的结果。</t>
        </is>
      </c>
    </row>
    <row r="25">
      <c r="A25" s="34" t="inlineStr">
        <is>
          <t>否</t>
        </is>
      </c>
      <c r="B25" s="20" t="inlineStr">
        <is>
          <t>2031-10</t>
        </is>
      </c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70">
        <f>IF(A25="是",IF(D25="",'经营参数'!$D$47/12,D25)*IF(E25="",'经营参数'!$D$44,E25)+IF(F25="",0,F25)*IF(G25="",'经营参数'!$D$45,G25)+IF(H25="",0,H25)*IF(I25="",'经营参数'!$D$46,I25),"")</f>
        <v/>
      </c>
      <c r="W25" s="70">
        <f>IF(A25="是",(IF(D25="",'经营参数'!$D$47/12,D25)+IF(F25="",0,F25)+IF(H25="",0,H25))*IF(J25="",'经营参数'!$D$20,J25),"")</f>
        <v/>
      </c>
      <c r="X25" s="70">
        <f>IF(A25="是",(IF(D25="",'经营参数'!$D$47/12,D25)+IF(F25="",0,F25)+IF(H25="",0,H25))*IF(K25="",'经营参数'!$D$22,K25)+IF(L25="",'经营参数'!$D$21/12,L25),"")</f>
        <v/>
      </c>
      <c r="Y25" s="70">
        <f>IF(A25="是",IF(M25="",(IF(D25="",'经营参数'!$D$47/12,D25)+IF(F25="",0,F25)+IF(H25="",0,H25))*'经营参数'!$D$51,M25)*IF(N25="",'经营参数'!$D$29,N25)+IF(O25="",(IF(D25="",'经营参数'!$D$47/12,D25)+IF(F25="",0,F25)+IF(H25="",0,H25))*'经营参数'!$D$52,O25)*IF(P25="",'经营参数'!$D$30,P25),"")</f>
        <v/>
      </c>
      <c r="Z25" s="70">
        <f>IF(A25="是",W25+X25+Y25+IF(Q25="",'经营参数'!$D$25/12,Q25)+IF(R25="",'经营参数'!$D$24/12,R25)+IF(S25="",0,S25),"")</f>
        <v/>
      </c>
      <c r="AA25" s="70">
        <f>IF(A25="是",MAX(0,(V25-Z25)*IF(T25="",'经营参数'!$D$26,T25)),"")</f>
        <v/>
      </c>
      <c r="AB25" s="70">
        <f>IF(A25="是",V25-Z25-AA25,"")</f>
        <v/>
      </c>
      <c r="AC25" s="70">
        <f>IF(A25="是",MAX(0,AB25*IF(U25="",'经营参数'!$D$27,U25)),"")</f>
        <v/>
      </c>
      <c r="AD25" s="70">
        <f>IF(A25="是",AB25-AC25,"")</f>
        <v/>
      </c>
      <c r="AE25" s="20" t="inlineStr">
        <is>
          <t>黄色格为空时，右侧公式使用经营参数中的基础值；启用后，游戏优先采用本行已计算的结果。</t>
        </is>
      </c>
    </row>
    <row r="26">
      <c r="A26" s="34" t="inlineStr">
        <is>
          <t>否</t>
        </is>
      </c>
      <c r="B26" s="20" t="inlineStr">
        <is>
          <t>2031-11</t>
        </is>
      </c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70">
        <f>IF(A26="是",IF(D26="",'经营参数'!$D$47/12,D26)*IF(E26="",'经营参数'!$D$44,E26)+IF(F26="",0,F26)*IF(G26="",'经营参数'!$D$45,G26)+IF(H26="",0,H26)*IF(I26="",'经营参数'!$D$46,I26),"")</f>
        <v/>
      </c>
      <c r="W26" s="70">
        <f>IF(A26="是",(IF(D26="",'经营参数'!$D$47/12,D26)+IF(F26="",0,F26)+IF(H26="",0,H26))*IF(J26="",'经营参数'!$D$20,J26),"")</f>
        <v/>
      </c>
      <c r="X26" s="70">
        <f>IF(A26="是",(IF(D26="",'经营参数'!$D$47/12,D26)+IF(F26="",0,F26)+IF(H26="",0,H26))*IF(K26="",'经营参数'!$D$22,K26)+IF(L26="",'经营参数'!$D$21/12,L26),"")</f>
        <v/>
      </c>
      <c r="Y26" s="70">
        <f>IF(A26="是",IF(M26="",(IF(D26="",'经营参数'!$D$47/12,D26)+IF(F26="",0,F26)+IF(H26="",0,H26))*'经营参数'!$D$51,M26)*IF(N26="",'经营参数'!$D$29,N26)+IF(O26="",(IF(D26="",'经营参数'!$D$47/12,D26)+IF(F26="",0,F26)+IF(H26="",0,H26))*'经营参数'!$D$52,O26)*IF(P26="",'经营参数'!$D$30,P26),"")</f>
        <v/>
      </c>
      <c r="Z26" s="70">
        <f>IF(A26="是",W26+X26+Y26+IF(Q26="",'经营参数'!$D$25/12,Q26)+IF(R26="",'经营参数'!$D$24/12,R26)+IF(S26="",0,S26),"")</f>
        <v/>
      </c>
      <c r="AA26" s="70">
        <f>IF(A26="是",MAX(0,(V26-Z26)*IF(T26="",'经营参数'!$D$26,T26)),"")</f>
        <v/>
      </c>
      <c r="AB26" s="70">
        <f>IF(A26="是",V26-Z26-AA26,"")</f>
        <v/>
      </c>
      <c r="AC26" s="70">
        <f>IF(A26="是",MAX(0,AB26*IF(U26="",'经营参数'!$D$27,U26)),"")</f>
        <v/>
      </c>
      <c r="AD26" s="70">
        <f>IF(A26="是",AB26-AC26,"")</f>
        <v/>
      </c>
      <c r="AE26" s="20" t="inlineStr">
        <is>
          <t>黄色格为空时，右侧公式使用经营参数中的基础值；启用后，游戏优先采用本行已计算的结果。</t>
        </is>
      </c>
    </row>
    <row r="27">
      <c r="A27" s="34" t="inlineStr">
        <is>
          <t>否</t>
        </is>
      </c>
      <c r="B27" s="20" t="inlineStr">
        <is>
          <t>2031-12</t>
        </is>
      </c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70">
        <f>IF(A27="是",IF(D27="",'经营参数'!$D$47/12,D27)*IF(E27="",'经营参数'!$D$44,E27)+IF(F27="",0,F27)*IF(G27="",'经营参数'!$D$45,G27)+IF(H27="",0,H27)*IF(I27="",'经营参数'!$D$46,I27),"")</f>
        <v/>
      </c>
      <c r="W27" s="70">
        <f>IF(A27="是",(IF(D27="",'经营参数'!$D$47/12,D27)+IF(F27="",0,F27)+IF(H27="",0,H27))*IF(J27="",'经营参数'!$D$20,J27),"")</f>
        <v/>
      </c>
      <c r="X27" s="70">
        <f>IF(A27="是",(IF(D27="",'经营参数'!$D$47/12,D27)+IF(F27="",0,F27)+IF(H27="",0,H27))*IF(K27="",'经营参数'!$D$22,K27)+IF(L27="",'经营参数'!$D$21/12,L27),"")</f>
        <v/>
      </c>
      <c r="Y27" s="70">
        <f>IF(A27="是",IF(M27="",(IF(D27="",'经营参数'!$D$47/12,D27)+IF(F27="",0,F27)+IF(H27="",0,H27))*'经营参数'!$D$51,M27)*IF(N27="",'经营参数'!$D$29,N27)+IF(O27="",(IF(D27="",'经营参数'!$D$47/12,D27)+IF(F27="",0,F27)+IF(H27="",0,H27))*'经营参数'!$D$52,O27)*IF(P27="",'经营参数'!$D$30,P27),"")</f>
        <v/>
      </c>
      <c r="Z27" s="70">
        <f>IF(A27="是",W27+X27+Y27+IF(Q27="",'经营参数'!$D$25/12,Q27)+IF(R27="",'经营参数'!$D$24/12,R27)+IF(S27="",0,S27),"")</f>
        <v/>
      </c>
      <c r="AA27" s="70">
        <f>IF(A27="是",MAX(0,(V27-Z27)*IF(T27="",'经营参数'!$D$26,T27)),"")</f>
        <v/>
      </c>
      <c r="AB27" s="70">
        <f>IF(A27="是",V27-Z27-AA27,"")</f>
        <v/>
      </c>
      <c r="AC27" s="70">
        <f>IF(A27="是",MAX(0,AB27*IF(U27="",'经营参数'!$D$27,U27)),"")</f>
        <v/>
      </c>
      <c r="AD27" s="70">
        <f>IF(A27="是",AB27-AC27,"")</f>
        <v/>
      </c>
      <c r="AE27" s="20" t="inlineStr">
        <is>
          <t>黄色格为空时，右侧公式使用经营参数中的基础值；启用后，游戏优先采用本行已计算的结果。</t>
        </is>
      </c>
    </row>
    <row r="28">
      <c r="A28" s="34" t="inlineStr">
        <is>
          <t>否</t>
        </is>
      </c>
      <c r="B28" s="20" t="inlineStr">
        <is>
          <t>2032-01</t>
        </is>
      </c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70">
        <f>IF(A28="是",IF(D28="",'经营参数'!$D$47/12,D28)*IF(E28="",'经营参数'!$D$44,E28)+IF(F28="",0,F28)*IF(G28="",'经营参数'!$D$45,G28)+IF(H28="",0,H28)*IF(I28="",'经营参数'!$D$46,I28),"")</f>
        <v/>
      </c>
      <c r="W28" s="70">
        <f>IF(A28="是",(IF(D28="",'经营参数'!$D$47/12,D28)+IF(F28="",0,F28)+IF(H28="",0,H28))*IF(J28="",'经营参数'!$D$20,J28),"")</f>
        <v/>
      </c>
      <c r="X28" s="70">
        <f>IF(A28="是",(IF(D28="",'经营参数'!$D$47/12,D28)+IF(F28="",0,F28)+IF(H28="",0,H28))*IF(K28="",'经营参数'!$D$22,K28)+IF(L28="",'经营参数'!$D$21/12,L28),"")</f>
        <v/>
      </c>
      <c r="Y28" s="70">
        <f>IF(A28="是",IF(M28="",(IF(D28="",'经营参数'!$D$47/12,D28)+IF(F28="",0,F28)+IF(H28="",0,H28))*'经营参数'!$D$51,M28)*IF(N28="",'经营参数'!$D$29,N28)+IF(O28="",(IF(D28="",'经营参数'!$D$47/12,D28)+IF(F28="",0,F28)+IF(H28="",0,H28))*'经营参数'!$D$52,O28)*IF(P28="",'经营参数'!$D$30,P28),"")</f>
        <v/>
      </c>
      <c r="Z28" s="70">
        <f>IF(A28="是",W28+X28+Y28+IF(Q28="",'经营参数'!$D$25/12,Q28)+IF(R28="",'经营参数'!$D$24/12,R28)+IF(S28="",0,S28),"")</f>
        <v/>
      </c>
      <c r="AA28" s="70">
        <f>IF(A28="是",MAX(0,(V28-Z28)*IF(T28="",'经营参数'!$D$26,T28)),"")</f>
        <v/>
      </c>
      <c r="AB28" s="70">
        <f>IF(A28="是",V28-Z28-AA28,"")</f>
        <v/>
      </c>
      <c r="AC28" s="70">
        <f>IF(A28="是",MAX(0,AB28*IF(U28="",'经营参数'!$D$27,U28)),"")</f>
        <v/>
      </c>
      <c r="AD28" s="70">
        <f>IF(A28="是",AB28-AC28,"")</f>
        <v/>
      </c>
      <c r="AE28" s="20" t="inlineStr">
        <is>
          <t>黄色格为空时，右侧公式使用经营参数中的基础值；启用后，游戏优先采用本行已计算的结果。</t>
        </is>
      </c>
    </row>
    <row r="29">
      <c r="A29" s="34" t="inlineStr">
        <is>
          <t>否</t>
        </is>
      </c>
      <c r="B29" s="20" t="inlineStr">
        <is>
          <t>2032-02</t>
        </is>
      </c>
      <c r="C29" s="63" t="n"/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70">
        <f>IF(A29="是",IF(D29="",'经营参数'!$D$47/12,D29)*IF(E29="",'经营参数'!$D$44,E29)+IF(F29="",0,F29)*IF(G29="",'经营参数'!$D$45,G29)+IF(H29="",0,H29)*IF(I29="",'经营参数'!$D$46,I29),"")</f>
        <v/>
      </c>
      <c r="W29" s="70">
        <f>IF(A29="是",(IF(D29="",'经营参数'!$D$47/12,D29)+IF(F29="",0,F29)+IF(H29="",0,H29))*IF(J29="",'经营参数'!$D$20,J29),"")</f>
        <v/>
      </c>
      <c r="X29" s="70">
        <f>IF(A29="是",(IF(D29="",'经营参数'!$D$47/12,D29)+IF(F29="",0,F29)+IF(H29="",0,H29))*IF(K29="",'经营参数'!$D$22,K29)+IF(L29="",'经营参数'!$D$21/12,L29),"")</f>
        <v/>
      </c>
      <c r="Y29" s="70">
        <f>IF(A29="是",IF(M29="",(IF(D29="",'经营参数'!$D$47/12,D29)+IF(F29="",0,F29)+IF(H29="",0,H29))*'经营参数'!$D$51,M29)*IF(N29="",'经营参数'!$D$29,N29)+IF(O29="",(IF(D29="",'经营参数'!$D$47/12,D29)+IF(F29="",0,F29)+IF(H29="",0,H29))*'经营参数'!$D$52,O29)*IF(P29="",'经营参数'!$D$30,P29),"")</f>
        <v/>
      </c>
      <c r="Z29" s="70">
        <f>IF(A29="是",W29+X29+Y29+IF(Q29="",'经营参数'!$D$25/12,Q29)+IF(R29="",'经营参数'!$D$24/12,R29)+IF(S29="",0,S29),"")</f>
        <v/>
      </c>
      <c r="AA29" s="70">
        <f>IF(A29="是",MAX(0,(V29-Z29)*IF(T29="",'经营参数'!$D$26,T29)),"")</f>
        <v/>
      </c>
      <c r="AB29" s="70">
        <f>IF(A29="是",V29-Z29-AA29,"")</f>
        <v/>
      </c>
      <c r="AC29" s="70">
        <f>IF(A29="是",MAX(0,AB29*IF(U29="",'经营参数'!$D$27,U29)),"")</f>
        <v/>
      </c>
      <c r="AD29" s="70">
        <f>IF(A29="是",AB29-AC29,"")</f>
        <v/>
      </c>
      <c r="AE29" s="20" t="inlineStr">
        <is>
          <t>黄色格为空时，右侧公式使用经营参数中的基础值；启用后，游戏优先采用本行已计算的结果。</t>
        </is>
      </c>
    </row>
    <row r="30">
      <c r="A30" s="34" t="inlineStr">
        <is>
          <t>否</t>
        </is>
      </c>
      <c r="B30" s="20" t="inlineStr">
        <is>
          <t>2032-03</t>
        </is>
      </c>
      <c r="C30" s="63" t="n"/>
      <c r="D30" s="63" t="n"/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70">
        <f>IF(A30="是",IF(D30="",'经营参数'!$D$47/12,D30)*IF(E30="",'经营参数'!$D$44,E30)+IF(F30="",0,F30)*IF(G30="",'经营参数'!$D$45,G30)+IF(H30="",0,H30)*IF(I30="",'经营参数'!$D$46,I30),"")</f>
        <v/>
      </c>
      <c r="W30" s="70">
        <f>IF(A30="是",(IF(D30="",'经营参数'!$D$47/12,D30)+IF(F30="",0,F30)+IF(H30="",0,H30))*IF(J30="",'经营参数'!$D$20,J30),"")</f>
        <v/>
      </c>
      <c r="X30" s="70">
        <f>IF(A30="是",(IF(D30="",'经营参数'!$D$47/12,D30)+IF(F30="",0,F30)+IF(H30="",0,H30))*IF(K30="",'经营参数'!$D$22,K30)+IF(L30="",'经营参数'!$D$21/12,L30),"")</f>
        <v/>
      </c>
      <c r="Y30" s="70">
        <f>IF(A30="是",IF(M30="",(IF(D30="",'经营参数'!$D$47/12,D30)+IF(F30="",0,F30)+IF(H30="",0,H30))*'经营参数'!$D$51,M30)*IF(N30="",'经营参数'!$D$29,N30)+IF(O30="",(IF(D30="",'经营参数'!$D$47/12,D30)+IF(F30="",0,F30)+IF(H30="",0,H30))*'经营参数'!$D$52,O30)*IF(P30="",'经营参数'!$D$30,P30),"")</f>
        <v/>
      </c>
      <c r="Z30" s="70">
        <f>IF(A30="是",W30+X30+Y30+IF(Q30="",'经营参数'!$D$25/12,Q30)+IF(R30="",'经营参数'!$D$24/12,R30)+IF(S30="",0,S30),"")</f>
        <v/>
      </c>
      <c r="AA30" s="70">
        <f>IF(A30="是",MAX(0,(V30-Z30)*IF(T30="",'经营参数'!$D$26,T30)),"")</f>
        <v/>
      </c>
      <c r="AB30" s="70">
        <f>IF(A30="是",V30-Z30-AA30,"")</f>
        <v/>
      </c>
      <c r="AC30" s="70">
        <f>IF(A30="是",MAX(0,AB30*IF(U30="",'经营参数'!$D$27,U30)),"")</f>
        <v/>
      </c>
      <c r="AD30" s="70">
        <f>IF(A30="是",AB30-AC30,"")</f>
        <v/>
      </c>
      <c r="AE30" s="20" t="inlineStr">
        <is>
          <t>黄色格为空时，右侧公式使用经营参数中的基础值；启用后，游戏优先采用本行已计算的结果。</t>
        </is>
      </c>
    </row>
    <row r="31">
      <c r="A31" s="34" t="inlineStr">
        <is>
          <t>否</t>
        </is>
      </c>
      <c r="B31" s="20" t="inlineStr">
        <is>
          <t>2032-04</t>
        </is>
      </c>
      <c r="C31" s="63" t="n"/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70">
        <f>IF(A31="是",IF(D31="",'经营参数'!$D$47/12,D31)*IF(E31="",'经营参数'!$D$44,E31)+IF(F31="",0,F31)*IF(G31="",'经营参数'!$D$45,G31)+IF(H31="",0,H31)*IF(I31="",'经营参数'!$D$46,I31),"")</f>
        <v/>
      </c>
      <c r="W31" s="70">
        <f>IF(A31="是",(IF(D31="",'经营参数'!$D$47/12,D31)+IF(F31="",0,F31)+IF(H31="",0,H31))*IF(J31="",'经营参数'!$D$20,J31),"")</f>
        <v/>
      </c>
      <c r="X31" s="70">
        <f>IF(A31="是",(IF(D31="",'经营参数'!$D$47/12,D31)+IF(F31="",0,F31)+IF(H31="",0,H31))*IF(K31="",'经营参数'!$D$22,K31)+IF(L31="",'经营参数'!$D$21/12,L31),"")</f>
        <v/>
      </c>
      <c r="Y31" s="70">
        <f>IF(A31="是",IF(M31="",(IF(D31="",'经营参数'!$D$47/12,D31)+IF(F31="",0,F31)+IF(H31="",0,H31))*'经营参数'!$D$51,M31)*IF(N31="",'经营参数'!$D$29,N31)+IF(O31="",(IF(D31="",'经营参数'!$D$47/12,D31)+IF(F31="",0,F31)+IF(H31="",0,H31))*'经营参数'!$D$52,O31)*IF(P31="",'经营参数'!$D$30,P31),"")</f>
        <v/>
      </c>
      <c r="Z31" s="70">
        <f>IF(A31="是",W31+X31+Y31+IF(Q31="",'经营参数'!$D$25/12,Q31)+IF(R31="",'经营参数'!$D$24/12,R31)+IF(S31="",0,S31),"")</f>
        <v/>
      </c>
      <c r="AA31" s="70">
        <f>IF(A31="是",MAX(0,(V31-Z31)*IF(T31="",'经营参数'!$D$26,T31)),"")</f>
        <v/>
      </c>
      <c r="AB31" s="70">
        <f>IF(A31="是",V31-Z31-AA31,"")</f>
        <v/>
      </c>
      <c r="AC31" s="70">
        <f>IF(A31="是",MAX(0,AB31*IF(U31="",'经营参数'!$D$27,U31)),"")</f>
        <v/>
      </c>
      <c r="AD31" s="70">
        <f>IF(A31="是",AB31-AC31,"")</f>
        <v/>
      </c>
      <c r="AE31" s="20" t="inlineStr">
        <is>
          <t>黄色格为空时，右侧公式使用经营参数中的基础值；启用后，游戏优先采用本行已计算的结果。</t>
        </is>
      </c>
    </row>
    <row r="32">
      <c r="A32" s="34" t="inlineStr">
        <is>
          <t>否</t>
        </is>
      </c>
      <c r="B32" s="20" t="inlineStr">
        <is>
          <t>2032-05</t>
        </is>
      </c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70">
        <f>IF(A32="是",IF(D32="",'经营参数'!$D$47/12,D32)*IF(E32="",'经营参数'!$D$44,E32)+IF(F32="",0,F32)*IF(G32="",'经营参数'!$D$45,G32)+IF(H32="",0,H32)*IF(I32="",'经营参数'!$D$46,I32),"")</f>
        <v/>
      </c>
      <c r="W32" s="70">
        <f>IF(A32="是",(IF(D32="",'经营参数'!$D$47/12,D32)+IF(F32="",0,F32)+IF(H32="",0,H32))*IF(J32="",'经营参数'!$D$20,J32),"")</f>
        <v/>
      </c>
      <c r="X32" s="70">
        <f>IF(A32="是",(IF(D32="",'经营参数'!$D$47/12,D32)+IF(F32="",0,F32)+IF(H32="",0,H32))*IF(K32="",'经营参数'!$D$22,K32)+IF(L32="",'经营参数'!$D$21/12,L32),"")</f>
        <v/>
      </c>
      <c r="Y32" s="70">
        <f>IF(A32="是",IF(M32="",(IF(D32="",'经营参数'!$D$47/12,D32)+IF(F32="",0,F32)+IF(H32="",0,H32))*'经营参数'!$D$51,M32)*IF(N32="",'经营参数'!$D$29,N32)+IF(O32="",(IF(D32="",'经营参数'!$D$47/12,D32)+IF(F32="",0,F32)+IF(H32="",0,H32))*'经营参数'!$D$52,O32)*IF(P32="",'经营参数'!$D$30,P32),"")</f>
        <v/>
      </c>
      <c r="Z32" s="70">
        <f>IF(A32="是",W32+X32+Y32+IF(Q32="",'经营参数'!$D$25/12,Q32)+IF(R32="",'经营参数'!$D$24/12,R32)+IF(S32="",0,S32),"")</f>
        <v/>
      </c>
      <c r="AA32" s="70">
        <f>IF(A32="是",MAX(0,(V32-Z32)*IF(T32="",'经营参数'!$D$26,T32)),"")</f>
        <v/>
      </c>
      <c r="AB32" s="70">
        <f>IF(A32="是",V32-Z32-AA32,"")</f>
        <v/>
      </c>
      <c r="AC32" s="70">
        <f>IF(A32="是",MAX(0,AB32*IF(U32="",'经营参数'!$D$27,U32)),"")</f>
        <v/>
      </c>
      <c r="AD32" s="70">
        <f>IF(A32="是",AB32-AC32,"")</f>
        <v/>
      </c>
      <c r="AE32" s="20" t="inlineStr">
        <is>
          <t>黄色格为空时，右侧公式使用经营参数中的基础值；启用后，游戏优先采用本行已计算的结果。</t>
        </is>
      </c>
    </row>
    <row r="33">
      <c r="A33" s="34" t="inlineStr">
        <is>
          <t>否</t>
        </is>
      </c>
      <c r="B33" s="20" t="inlineStr">
        <is>
          <t>2032-06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70">
        <f>IF(A33="是",IF(D33="",'经营参数'!$D$47/12,D33)*IF(E33="",'经营参数'!$D$44,E33)+IF(F33="",0,F33)*IF(G33="",'经营参数'!$D$45,G33)+IF(H33="",0,H33)*IF(I33="",'经营参数'!$D$46,I33),"")</f>
        <v/>
      </c>
      <c r="W33" s="70">
        <f>IF(A33="是",(IF(D33="",'经营参数'!$D$47/12,D33)+IF(F33="",0,F33)+IF(H33="",0,H33))*IF(J33="",'经营参数'!$D$20,J33),"")</f>
        <v/>
      </c>
      <c r="X33" s="70">
        <f>IF(A33="是",(IF(D33="",'经营参数'!$D$47/12,D33)+IF(F33="",0,F33)+IF(H33="",0,H33))*IF(K33="",'经营参数'!$D$22,K33)+IF(L33="",'经营参数'!$D$21/12,L33),"")</f>
        <v/>
      </c>
      <c r="Y33" s="70">
        <f>IF(A33="是",IF(M33="",(IF(D33="",'经营参数'!$D$47/12,D33)+IF(F33="",0,F33)+IF(H33="",0,H33))*'经营参数'!$D$51,M33)*IF(N33="",'经营参数'!$D$29,N33)+IF(O33="",(IF(D33="",'经营参数'!$D$47/12,D33)+IF(F33="",0,F33)+IF(H33="",0,H33))*'经营参数'!$D$52,O33)*IF(P33="",'经营参数'!$D$30,P33),"")</f>
        <v/>
      </c>
      <c r="Z33" s="70">
        <f>IF(A33="是",W33+X33+Y33+IF(Q33="",'经营参数'!$D$25/12,Q33)+IF(R33="",'经营参数'!$D$24/12,R33)+IF(S33="",0,S33),"")</f>
        <v/>
      </c>
      <c r="AA33" s="70">
        <f>IF(A33="是",MAX(0,(V33-Z33)*IF(T33="",'经营参数'!$D$26,T33)),"")</f>
        <v/>
      </c>
      <c r="AB33" s="70">
        <f>IF(A33="是",V33-Z33-AA33,"")</f>
        <v/>
      </c>
      <c r="AC33" s="70">
        <f>IF(A33="是",MAX(0,AB33*IF(U33="",'经营参数'!$D$27,U33)),"")</f>
        <v/>
      </c>
      <c r="AD33" s="70">
        <f>IF(A33="是",AB33-AC33,"")</f>
        <v/>
      </c>
      <c r="AE33" s="20" t="inlineStr">
        <is>
          <t>黄色格为空时，右侧公式使用经营参数中的基础值；启用后，游戏优先采用本行已计算的结果。</t>
        </is>
      </c>
    </row>
    <row r="34">
      <c r="A34" s="34" t="inlineStr">
        <is>
          <t>否</t>
        </is>
      </c>
      <c r="B34" s="20" t="inlineStr">
        <is>
          <t>2032-07</t>
        </is>
      </c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70">
        <f>IF(A34="是",IF(D34="",'经营参数'!$D$47/12,D34)*IF(E34="",'经营参数'!$D$44,E34)+IF(F34="",0,F34)*IF(G34="",'经营参数'!$D$45,G34)+IF(H34="",0,H34)*IF(I34="",'经营参数'!$D$46,I34),"")</f>
        <v/>
      </c>
      <c r="W34" s="70">
        <f>IF(A34="是",(IF(D34="",'经营参数'!$D$47/12,D34)+IF(F34="",0,F34)+IF(H34="",0,H34))*IF(J34="",'经营参数'!$D$20,J34),"")</f>
        <v/>
      </c>
      <c r="X34" s="70">
        <f>IF(A34="是",(IF(D34="",'经营参数'!$D$47/12,D34)+IF(F34="",0,F34)+IF(H34="",0,H34))*IF(K34="",'经营参数'!$D$22,K34)+IF(L34="",'经营参数'!$D$21/12,L34),"")</f>
        <v/>
      </c>
      <c r="Y34" s="70">
        <f>IF(A34="是",IF(M34="",(IF(D34="",'经营参数'!$D$47/12,D34)+IF(F34="",0,F34)+IF(H34="",0,H34))*'经营参数'!$D$51,M34)*IF(N34="",'经营参数'!$D$29,N34)+IF(O34="",(IF(D34="",'经营参数'!$D$47/12,D34)+IF(F34="",0,F34)+IF(H34="",0,H34))*'经营参数'!$D$52,O34)*IF(P34="",'经营参数'!$D$30,P34),"")</f>
        <v/>
      </c>
      <c r="Z34" s="70">
        <f>IF(A34="是",W34+X34+Y34+IF(Q34="",'经营参数'!$D$25/12,Q34)+IF(R34="",'经营参数'!$D$24/12,R34)+IF(S34="",0,S34),"")</f>
        <v/>
      </c>
      <c r="AA34" s="70">
        <f>IF(A34="是",MAX(0,(V34-Z34)*IF(T34="",'经营参数'!$D$26,T34)),"")</f>
        <v/>
      </c>
      <c r="AB34" s="70">
        <f>IF(A34="是",V34-Z34-AA34,"")</f>
        <v/>
      </c>
      <c r="AC34" s="70">
        <f>IF(A34="是",MAX(0,AB34*IF(U34="",'经营参数'!$D$27,U34)),"")</f>
        <v/>
      </c>
      <c r="AD34" s="70">
        <f>IF(A34="是",AB34-AC34,"")</f>
        <v/>
      </c>
      <c r="AE34" s="20" t="inlineStr">
        <is>
          <t>黄色格为空时，右侧公式使用经营参数中的基础值；启用后，游戏优先采用本行已计算的结果。</t>
        </is>
      </c>
    </row>
    <row r="35">
      <c r="A35" s="34" t="inlineStr">
        <is>
          <t>否</t>
        </is>
      </c>
      <c r="B35" s="20" t="inlineStr">
        <is>
          <t>2032-08</t>
        </is>
      </c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70">
        <f>IF(A35="是",IF(D35="",'经营参数'!$D$47/12,D35)*IF(E35="",'经营参数'!$D$44,E35)+IF(F35="",0,F35)*IF(G35="",'经营参数'!$D$45,G35)+IF(H35="",0,H35)*IF(I35="",'经营参数'!$D$46,I35),"")</f>
        <v/>
      </c>
      <c r="W35" s="70">
        <f>IF(A35="是",(IF(D35="",'经营参数'!$D$47/12,D35)+IF(F35="",0,F35)+IF(H35="",0,H35))*IF(J35="",'经营参数'!$D$20,J35),"")</f>
        <v/>
      </c>
      <c r="X35" s="70">
        <f>IF(A35="是",(IF(D35="",'经营参数'!$D$47/12,D35)+IF(F35="",0,F35)+IF(H35="",0,H35))*IF(K35="",'经营参数'!$D$22,K35)+IF(L35="",'经营参数'!$D$21/12,L35),"")</f>
        <v/>
      </c>
      <c r="Y35" s="70">
        <f>IF(A35="是",IF(M35="",(IF(D35="",'经营参数'!$D$47/12,D35)+IF(F35="",0,F35)+IF(H35="",0,H35))*'经营参数'!$D$51,M35)*IF(N35="",'经营参数'!$D$29,N35)+IF(O35="",(IF(D35="",'经营参数'!$D$47/12,D35)+IF(F35="",0,F35)+IF(H35="",0,H35))*'经营参数'!$D$52,O35)*IF(P35="",'经营参数'!$D$30,P35),"")</f>
        <v/>
      </c>
      <c r="Z35" s="70">
        <f>IF(A35="是",W35+X35+Y35+IF(Q35="",'经营参数'!$D$25/12,Q35)+IF(R35="",'经营参数'!$D$24/12,R35)+IF(S35="",0,S35),"")</f>
        <v/>
      </c>
      <c r="AA35" s="70">
        <f>IF(A35="是",MAX(0,(V35-Z35)*IF(T35="",'经营参数'!$D$26,T35)),"")</f>
        <v/>
      </c>
      <c r="AB35" s="70">
        <f>IF(A35="是",V35-Z35-AA35,"")</f>
        <v/>
      </c>
      <c r="AC35" s="70">
        <f>IF(A35="是",MAX(0,AB35*IF(U35="",'经营参数'!$D$27,U35)),"")</f>
        <v/>
      </c>
      <c r="AD35" s="70">
        <f>IF(A35="是",AB35-AC35,"")</f>
        <v/>
      </c>
      <c r="AE35" s="20" t="inlineStr">
        <is>
          <t>黄色格为空时，右侧公式使用经营参数中的基础值；启用后，游戏优先采用本行已计算的结果。</t>
        </is>
      </c>
    </row>
    <row r="36">
      <c r="A36" s="34" t="inlineStr">
        <is>
          <t>否</t>
        </is>
      </c>
      <c r="B36" s="20" t="inlineStr">
        <is>
          <t>2032-09</t>
        </is>
      </c>
      <c r="C36" s="63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70">
        <f>IF(A36="是",IF(D36="",'经营参数'!$D$47/12,D36)*IF(E36="",'经营参数'!$D$44,E36)+IF(F36="",0,F36)*IF(G36="",'经营参数'!$D$45,G36)+IF(H36="",0,H36)*IF(I36="",'经营参数'!$D$46,I36),"")</f>
        <v/>
      </c>
      <c r="W36" s="70">
        <f>IF(A36="是",(IF(D36="",'经营参数'!$D$47/12,D36)+IF(F36="",0,F36)+IF(H36="",0,H36))*IF(J36="",'经营参数'!$D$20,J36),"")</f>
        <v/>
      </c>
      <c r="X36" s="70">
        <f>IF(A36="是",(IF(D36="",'经营参数'!$D$47/12,D36)+IF(F36="",0,F36)+IF(H36="",0,H36))*IF(K36="",'经营参数'!$D$22,K36)+IF(L36="",'经营参数'!$D$21/12,L36),"")</f>
        <v/>
      </c>
      <c r="Y36" s="70">
        <f>IF(A36="是",IF(M36="",(IF(D36="",'经营参数'!$D$47/12,D36)+IF(F36="",0,F36)+IF(H36="",0,H36))*'经营参数'!$D$51,M36)*IF(N36="",'经营参数'!$D$29,N36)+IF(O36="",(IF(D36="",'经营参数'!$D$47/12,D36)+IF(F36="",0,F36)+IF(H36="",0,H36))*'经营参数'!$D$52,O36)*IF(P36="",'经营参数'!$D$30,P36),"")</f>
        <v/>
      </c>
      <c r="Z36" s="70">
        <f>IF(A36="是",W36+X36+Y36+IF(Q36="",'经营参数'!$D$25/12,Q36)+IF(R36="",'经营参数'!$D$24/12,R36)+IF(S36="",0,S36),"")</f>
        <v/>
      </c>
      <c r="AA36" s="70">
        <f>IF(A36="是",MAX(0,(V36-Z36)*IF(T36="",'经营参数'!$D$26,T36)),"")</f>
        <v/>
      </c>
      <c r="AB36" s="70">
        <f>IF(A36="是",V36-Z36-AA36,"")</f>
        <v/>
      </c>
      <c r="AC36" s="70">
        <f>IF(A36="是",MAX(0,AB36*IF(U36="",'经营参数'!$D$27,U36)),"")</f>
        <v/>
      </c>
      <c r="AD36" s="70">
        <f>IF(A36="是",AB36-AC36,"")</f>
        <v/>
      </c>
      <c r="AE36" s="20" t="inlineStr">
        <is>
          <t>黄色格为空时，右侧公式使用经营参数中的基础值；启用后，游戏优先采用本行已计算的结果。</t>
        </is>
      </c>
    </row>
    <row r="37">
      <c r="A37" s="34" t="inlineStr">
        <is>
          <t>否</t>
        </is>
      </c>
      <c r="B37" s="20" t="inlineStr">
        <is>
          <t>2032-10</t>
        </is>
      </c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70">
        <f>IF(A37="是",IF(D37="",'经营参数'!$D$47/12,D37)*IF(E37="",'经营参数'!$D$44,E37)+IF(F37="",0,F37)*IF(G37="",'经营参数'!$D$45,G37)+IF(H37="",0,H37)*IF(I37="",'经营参数'!$D$46,I37),"")</f>
        <v/>
      </c>
      <c r="W37" s="70">
        <f>IF(A37="是",(IF(D37="",'经营参数'!$D$47/12,D37)+IF(F37="",0,F37)+IF(H37="",0,H37))*IF(J37="",'经营参数'!$D$20,J37),"")</f>
        <v/>
      </c>
      <c r="X37" s="70">
        <f>IF(A37="是",(IF(D37="",'经营参数'!$D$47/12,D37)+IF(F37="",0,F37)+IF(H37="",0,H37))*IF(K37="",'经营参数'!$D$22,K37)+IF(L37="",'经营参数'!$D$21/12,L37),"")</f>
        <v/>
      </c>
      <c r="Y37" s="70">
        <f>IF(A37="是",IF(M37="",(IF(D37="",'经营参数'!$D$47/12,D37)+IF(F37="",0,F37)+IF(H37="",0,H37))*'经营参数'!$D$51,M37)*IF(N37="",'经营参数'!$D$29,N37)+IF(O37="",(IF(D37="",'经营参数'!$D$47/12,D37)+IF(F37="",0,F37)+IF(H37="",0,H37))*'经营参数'!$D$52,O37)*IF(P37="",'经营参数'!$D$30,P37),"")</f>
        <v/>
      </c>
      <c r="Z37" s="70">
        <f>IF(A37="是",W37+X37+Y37+IF(Q37="",'经营参数'!$D$25/12,Q37)+IF(R37="",'经营参数'!$D$24/12,R37)+IF(S37="",0,S37),"")</f>
        <v/>
      </c>
      <c r="AA37" s="70">
        <f>IF(A37="是",MAX(0,(V37-Z37)*IF(T37="",'经营参数'!$D$26,T37)),"")</f>
        <v/>
      </c>
      <c r="AB37" s="70">
        <f>IF(A37="是",V37-Z37-AA37,"")</f>
        <v/>
      </c>
      <c r="AC37" s="70">
        <f>IF(A37="是",MAX(0,AB37*IF(U37="",'经营参数'!$D$27,U37)),"")</f>
        <v/>
      </c>
      <c r="AD37" s="70">
        <f>IF(A37="是",AB37-AC37,"")</f>
        <v/>
      </c>
      <c r="AE37" s="20" t="inlineStr">
        <is>
          <t>黄色格为空时，右侧公式使用经营参数中的基础值；启用后，游戏优先采用本行已计算的结果。</t>
        </is>
      </c>
    </row>
    <row r="38">
      <c r="A38" s="34" t="inlineStr">
        <is>
          <t>否</t>
        </is>
      </c>
      <c r="B38" s="20" t="inlineStr">
        <is>
          <t>2032-11</t>
        </is>
      </c>
      <c r="C38" s="63" t="n"/>
      <c r="D38" s="63" t="n"/>
      <c r="E38" s="63" t="n"/>
      <c r="F38" s="63" t="n"/>
      <c r="G38" s="63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70">
        <f>IF(A38="是",IF(D38="",'经营参数'!$D$47/12,D38)*IF(E38="",'经营参数'!$D$44,E38)+IF(F38="",0,F38)*IF(G38="",'经营参数'!$D$45,G38)+IF(H38="",0,H38)*IF(I38="",'经营参数'!$D$46,I38),"")</f>
        <v/>
      </c>
      <c r="W38" s="70">
        <f>IF(A38="是",(IF(D38="",'经营参数'!$D$47/12,D38)+IF(F38="",0,F38)+IF(H38="",0,H38))*IF(J38="",'经营参数'!$D$20,J38),"")</f>
        <v/>
      </c>
      <c r="X38" s="70">
        <f>IF(A38="是",(IF(D38="",'经营参数'!$D$47/12,D38)+IF(F38="",0,F38)+IF(H38="",0,H38))*IF(K38="",'经营参数'!$D$22,K38)+IF(L38="",'经营参数'!$D$21/12,L38),"")</f>
        <v/>
      </c>
      <c r="Y38" s="70">
        <f>IF(A38="是",IF(M38="",(IF(D38="",'经营参数'!$D$47/12,D38)+IF(F38="",0,F38)+IF(H38="",0,H38))*'经营参数'!$D$51,M38)*IF(N38="",'经营参数'!$D$29,N38)+IF(O38="",(IF(D38="",'经营参数'!$D$47/12,D38)+IF(F38="",0,F38)+IF(H38="",0,H38))*'经营参数'!$D$52,O38)*IF(P38="",'经营参数'!$D$30,P38),"")</f>
        <v/>
      </c>
      <c r="Z38" s="70">
        <f>IF(A38="是",W38+X38+Y38+IF(Q38="",'经营参数'!$D$25/12,Q38)+IF(R38="",'经营参数'!$D$24/12,R38)+IF(S38="",0,S38),"")</f>
        <v/>
      </c>
      <c r="AA38" s="70">
        <f>IF(A38="是",MAX(0,(V38-Z38)*IF(T38="",'经营参数'!$D$26,T38)),"")</f>
        <v/>
      </c>
      <c r="AB38" s="70">
        <f>IF(A38="是",V38-Z38-AA38,"")</f>
        <v/>
      </c>
      <c r="AC38" s="70">
        <f>IF(A38="是",MAX(0,AB38*IF(U38="",'经营参数'!$D$27,U38)),"")</f>
        <v/>
      </c>
      <c r="AD38" s="70">
        <f>IF(A38="是",AB38-AC38,"")</f>
        <v/>
      </c>
      <c r="AE38" s="20" t="inlineStr">
        <is>
          <t>黄色格为空时，右侧公式使用经营参数中的基础值；启用后，游戏优先采用本行已计算的结果。</t>
        </is>
      </c>
    </row>
    <row r="39">
      <c r="A39" s="34" t="inlineStr">
        <is>
          <t>否</t>
        </is>
      </c>
      <c r="B39" s="20" t="inlineStr">
        <is>
          <t>2032-12</t>
        </is>
      </c>
      <c r="C39" s="63" t="n"/>
      <c r="D39" s="63" t="n"/>
      <c r="E39" s="63" t="n"/>
      <c r="F39" s="63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70">
        <f>IF(A39="是",IF(D39="",'经营参数'!$D$47/12,D39)*IF(E39="",'经营参数'!$D$44,E39)+IF(F39="",0,F39)*IF(G39="",'经营参数'!$D$45,G39)+IF(H39="",0,H39)*IF(I39="",'经营参数'!$D$46,I39),"")</f>
        <v/>
      </c>
      <c r="W39" s="70">
        <f>IF(A39="是",(IF(D39="",'经营参数'!$D$47/12,D39)+IF(F39="",0,F39)+IF(H39="",0,H39))*IF(J39="",'经营参数'!$D$20,J39),"")</f>
        <v/>
      </c>
      <c r="X39" s="70">
        <f>IF(A39="是",(IF(D39="",'经营参数'!$D$47/12,D39)+IF(F39="",0,F39)+IF(H39="",0,H39))*IF(K39="",'经营参数'!$D$22,K39)+IF(L39="",'经营参数'!$D$21/12,L39),"")</f>
        <v/>
      </c>
      <c r="Y39" s="70">
        <f>IF(A39="是",IF(M39="",(IF(D39="",'经营参数'!$D$47/12,D39)+IF(F39="",0,F39)+IF(H39="",0,H39))*'经营参数'!$D$51,M39)*IF(N39="",'经营参数'!$D$29,N39)+IF(O39="",(IF(D39="",'经营参数'!$D$47/12,D39)+IF(F39="",0,F39)+IF(H39="",0,H39))*'经营参数'!$D$52,O39)*IF(P39="",'经营参数'!$D$30,P39),"")</f>
        <v/>
      </c>
      <c r="Z39" s="70">
        <f>IF(A39="是",W39+X39+Y39+IF(Q39="",'经营参数'!$D$25/12,Q39)+IF(R39="",'经营参数'!$D$24/12,R39)+IF(S39="",0,S39),"")</f>
        <v/>
      </c>
      <c r="AA39" s="70">
        <f>IF(A39="是",MAX(0,(V39-Z39)*IF(T39="",'经营参数'!$D$26,T39)),"")</f>
        <v/>
      </c>
      <c r="AB39" s="70">
        <f>IF(A39="是",V39-Z39-AA39,"")</f>
        <v/>
      </c>
      <c r="AC39" s="70">
        <f>IF(A39="是",MAX(0,AB39*IF(U39="",'经营参数'!$D$27,U39)),"")</f>
        <v/>
      </c>
      <c r="AD39" s="70">
        <f>IF(A39="是",AB39-AC39,"")</f>
        <v/>
      </c>
      <c r="AE39" s="20" t="inlineStr">
        <is>
          <t>黄色格为空时，右侧公式使用经营参数中的基础值；启用后，游戏优先采用本行已计算的结果。</t>
        </is>
      </c>
    </row>
    <row r="40">
      <c r="A40" s="34" t="inlineStr">
        <is>
          <t>否</t>
        </is>
      </c>
      <c r="B40" s="20" t="inlineStr">
        <is>
          <t>2033-01</t>
        </is>
      </c>
      <c r="C40" s="63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63" t="n"/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70">
        <f>IF(A40="是",IF(D40="",'经营参数'!$D$47/12,D40)*IF(E40="",'经营参数'!$D$44,E40)+IF(F40="",0,F40)*IF(G40="",'经营参数'!$D$45,G40)+IF(H40="",0,H40)*IF(I40="",'经营参数'!$D$46,I40),"")</f>
        <v/>
      </c>
      <c r="W40" s="70">
        <f>IF(A40="是",(IF(D40="",'经营参数'!$D$47/12,D40)+IF(F40="",0,F40)+IF(H40="",0,H40))*IF(J40="",'经营参数'!$D$20,J40),"")</f>
        <v/>
      </c>
      <c r="X40" s="70">
        <f>IF(A40="是",(IF(D40="",'经营参数'!$D$47/12,D40)+IF(F40="",0,F40)+IF(H40="",0,H40))*IF(K40="",'经营参数'!$D$22,K40)+IF(L40="",'经营参数'!$D$21/12,L40),"")</f>
        <v/>
      </c>
      <c r="Y40" s="70">
        <f>IF(A40="是",IF(M40="",(IF(D40="",'经营参数'!$D$47/12,D40)+IF(F40="",0,F40)+IF(H40="",0,H40))*'经营参数'!$D$51,M40)*IF(N40="",'经营参数'!$D$29,N40)+IF(O40="",(IF(D40="",'经营参数'!$D$47/12,D40)+IF(F40="",0,F40)+IF(H40="",0,H40))*'经营参数'!$D$52,O40)*IF(P40="",'经营参数'!$D$30,P40),"")</f>
        <v/>
      </c>
      <c r="Z40" s="70">
        <f>IF(A40="是",W40+X40+Y40+IF(Q40="",'经营参数'!$D$25/12,Q40)+IF(R40="",'经营参数'!$D$24/12,R40)+IF(S40="",0,S40),"")</f>
        <v/>
      </c>
      <c r="AA40" s="70">
        <f>IF(A40="是",MAX(0,(V40-Z40)*IF(T40="",'经营参数'!$D$26,T40)),"")</f>
        <v/>
      </c>
      <c r="AB40" s="70">
        <f>IF(A40="是",V40-Z40-AA40,"")</f>
        <v/>
      </c>
      <c r="AC40" s="70">
        <f>IF(A40="是",MAX(0,AB40*IF(U40="",'经营参数'!$D$27,U40)),"")</f>
        <v/>
      </c>
      <c r="AD40" s="70">
        <f>IF(A40="是",AB40-AC40,"")</f>
        <v/>
      </c>
      <c r="AE40" s="20" t="inlineStr">
        <is>
          <t>黄色格为空时，右侧公式使用经营参数中的基础值；启用后，游戏优先采用本行已计算的结果。</t>
        </is>
      </c>
    </row>
    <row r="41">
      <c r="A41" s="34" t="inlineStr">
        <is>
          <t>否</t>
        </is>
      </c>
      <c r="B41" s="20" t="inlineStr">
        <is>
          <t>2033-02</t>
        </is>
      </c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70">
        <f>IF(A41="是",IF(D41="",'经营参数'!$D$47/12,D41)*IF(E41="",'经营参数'!$D$44,E41)+IF(F41="",0,F41)*IF(G41="",'经营参数'!$D$45,G41)+IF(H41="",0,H41)*IF(I41="",'经营参数'!$D$46,I41),"")</f>
        <v/>
      </c>
      <c r="W41" s="70">
        <f>IF(A41="是",(IF(D41="",'经营参数'!$D$47/12,D41)+IF(F41="",0,F41)+IF(H41="",0,H41))*IF(J41="",'经营参数'!$D$20,J41),"")</f>
        <v/>
      </c>
      <c r="X41" s="70">
        <f>IF(A41="是",(IF(D41="",'经营参数'!$D$47/12,D41)+IF(F41="",0,F41)+IF(H41="",0,H41))*IF(K41="",'经营参数'!$D$22,K41)+IF(L41="",'经营参数'!$D$21/12,L41),"")</f>
        <v/>
      </c>
      <c r="Y41" s="70">
        <f>IF(A41="是",IF(M41="",(IF(D41="",'经营参数'!$D$47/12,D41)+IF(F41="",0,F41)+IF(H41="",0,H41))*'经营参数'!$D$51,M41)*IF(N41="",'经营参数'!$D$29,N41)+IF(O41="",(IF(D41="",'经营参数'!$D$47/12,D41)+IF(F41="",0,F41)+IF(H41="",0,H41))*'经营参数'!$D$52,O41)*IF(P41="",'经营参数'!$D$30,P41),"")</f>
        <v/>
      </c>
      <c r="Z41" s="70">
        <f>IF(A41="是",W41+X41+Y41+IF(Q41="",'经营参数'!$D$25/12,Q41)+IF(R41="",'经营参数'!$D$24/12,R41)+IF(S41="",0,S41),"")</f>
        <v/>
      </c>
      <c r="AA41" s="70">
        <f>IF(A41="是",MAX(0,(V41-Z41)*IF(T41="",'经营参数'!$D$26,T41)),"")</f>
        <v/>
      </c>
      <c r="AB41" s="70">
        <f>IF(A41="是",V41-Z41-AA41,"")</f>
        <v/>
      </c>
      <c r="AC41" s="70">
        <f>IF(A41="是",MAX(0,AB41*IF(U41="",'经营参数'!$D$27,U41)),"")</f>
        <v/>
      </c>
      <c r="AD41" s="70">
        <f>IF(A41="是",AB41-AC41,"")</f>
        <v/>
      </c>
      <c r="AE41" s="20" t="inlineStr">
        <is>
          <t>黄色格为空时，右侧公式使用经营参数中的基础值；启用后，游戏优先采用本行已计算的结果。</t>
        </is>
      </c>
    </row>
    <row r="42">
      <c r="A42" s="34" t="inlineStr">
        <is>
          <t>否</t>
        </is>
      </c>
      <c r="B42" s="20" t="inlineStr">
        <is>
          <t>2033-03</t>
        </is>
      </c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70">
        <f>IF(A42="是",IF(D42="",'经营参数'!$D$47/12,D42)*IF(E42="",'经营参数'!$D$44,E42)+IF(F42="",0,F42)*IF(G42="",'经营参数'!$D$45,G42)+IF(H42="",0,H42)*IF(I42="",'经营参数'!$D$46,I42),"")</f>
        <v/>
      </c>
      <c r="W42" s="70">
        <f>IF(A42="是",(IF(D42="",'经营参数'!$D$47/12,D42)+IF(F42="",0,F42)+IF(H42="",0,H42))*IF(J42="",'经营参数'!$D$20,J42),"")</f>
        <v/>
      </c>
      <c r="X42" s="70">
        <f>IF(A42="是",(IF(D42="",'经营参数'!$D$47/12,D42)+IF(F42="",0,F42)+IF(H42="",0,H42))*IF(K42="",'经营参数'!$D$22,K42)+IF(L42="",'经营参数'!$D$21/12,L42),"")</f>
        <v/>
      </c>
      <c r="Y42" s="70">
        <f>IF(A42="是",IF(M42="",(IF(D42="",'经营参数'!$D$47/12,D42)+IF(F42="",0,F42)+IF(H42="",0,H42))*'经营参数'!$D$51,M42)*IF(N42="",'经营参数'!$D$29,N42)+IF(O42="",(IF(D42="",'经营参数'!$D$47/12,D42)+IF(F42="",0,F42)+IF(H42="",0,H42))*'经营参数'!$D$52,O42)*IF(P42="",'经营参数'!$D$30,P42),"")</f>
        <v/>
      </c>
      <c r="Z42" s="70">
        <f>IF(A42="是",W42+X42+Y42+IF(Q42="",'经营参数'!$D$25/12,Q42)+IF(R42="",'经营参数'!$D$24/12,R42)+IF(S42="",0,S42),"")</f>
        <v/>
      </c>
      <c r="AA42" s="70">
        <f>IF(A42="是",MAX(0,(V42-Z42)*IF(T42="",'经营参数'!$D$26,T42)),"")</f>
        <v/>
      </c>
      <c r="AB42" s="70">
        <f>IF(A42="是",V42-Z42-AA42,"")</f>
        <v/>
      </c>
      <c r="AC42" s="70">
        <f>IF(A42="是",MAX(0,AB42*IF(U42="",'经营参数'!$D$27,U42)),"")</f>
        <v/>
      </c>
      <c r="AD42" s="70">
        <f>IF(A42="是",AB42-AC42,"")</f>
        <v/>
      </c>
      <c r="AE42" s="20" t="inlineStr">
        <is>
          <t>黄色格为空时，右侧公式使用经营参数中的基础值；启用后，游戏优先采用本行已计算的结果。</t>
        </is>
      </c>
    </row>
    <row r="43">
      <c r="A43" s="34" t="inlineStr">
        <is>
          <t>否</t>
        </is>
      </c>
      <c r="B43" s="20" t="inlineStr">
        <is>
          <t>2033-04</t>
        </is>
      </c>
      <c r="C43" s="63" t="n"/>
      <c r="D43" s="63" t="n"/>
      <c r="E43" s="63" t="n"/>
      <c r="F43" s="63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70">
        <f>IF(A43="是",IF(D43="",'经营参数'!$D$47/12,D43)*IF(E43="",'经营参数'!$D$44,E43)+IF(F43="",0,F43)*IF(G43="",'经营参数'!$D$45,G43)+IF(H43="",0,H43)*IF(I43="",'经营参数'!$D$46,I43),"")</f>
        <v/>
      </c>
      <c r="W43" s="70">
        <f>IF(A43="是",(IF(D43="",'经营参数'!$D$47/12,D43)+IF(F43="",0,F43)+IF(H43="",0,H43))*IF(J43="",'经营参数'!$D$20,J43),"")</f>
        <v/>
      </c>
      <c r="X43" s="70">
        <f>IF(A43="是",(IF(D43="",'经营参数'!$D$47/12,D43)+IF(F43="",0,F43)+IF(H43="",0,H43))*IF(K43="",'经营参数'!$D$22,K43)+IF(L43="",'经营参数'!$D$21/12,L43),"")</f>
        <v/>
      </c>
      <c r="Y43" s="70">
        <f>IF(A43="是",IF(M43="",(IF(D43="",'经营参数'!$D$47/12,D43)+IF(F43="",0,F43)+IF(H43="",0,H43))*'经营参数'!$D$51,M43)*IF(N43="",'经营参数'!$D$29,N43)+IF(O43="",(IF(D43="",'经营参数'!$D$47/12,D43)+IF(F43="",0,F43)+IF(H43="",0,H43))*'经营参数'!$D$52,O43)*IF(P43="",'经营参数'!$D$30,P43),"")</f>
        <v/>
      </c>
      <c r="Z43" s="70">
        <f>IF(A43="是",W43+X43+Y43+IF(Q43="",'经营参数'!$D$25/12,Q43)+IF(R43="",'经营参数'!$D$24/12,R43)+IF(S43="",0,S43),"")</f>
        <v/>
      </c>
      <c r="AA43" s="70">
        <f>IF(A43="是",MAX(0,(V43-Z43)*IF(T43="",'经营参数'!$D$26,T43)),"")</f>
        <v/>
      </c>
      <c r="AB43" s="70">
        <f>IF(A43="是",V43-Z43-AA43,"")</f>
        <v/>
      </c>
      <c r="AC43" s="70">
        <f>IF(A43="是",MAX(0,AB43*IF(U43="",'经营参数'!$D$27,U43)),"")</f>
        <v/>
      </c>
      <c r="AD43" s="70">
        <f>IF(A43="是",AB43-AC43,"")</f>
        <v/>
      </c>
      <c r="AE43" s="20" t="inlineStr">
        <is>
          <t>黄色格为空时，右侧公式使用经营参数中的基础值；启用后，游戏优先采用本行已计算的结果。</t>
        </is>
      </c>
    </row>
    <row r="44">
      <c r="A44" s="34" t="inlineStr">
        <is>
          <t>否</t>
        </is>
      </c>
      <c r="B44" s="20" t="inlineStr">
        <is>
          <t>2033-05</t>
        </is>
      </c>
      <c r="C44" s="63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70">
        <f>IF(A44="是",IF(D44="",'经营参数'!$D$47/12,D44)*IF(E44="",'经营参数'!$D$44,E44)+IF(F44="",0,F44)*IF(G44="",'经营参数'!$D$45,G44)+IF(H44="",0,H44)*IF(I44="",'经营参数'!$D$46,I44),"")</f>
        <v/>
      </c>
      <c r="W44" s="70">
        <f>IF(A44="是",(IF(D44="",'经营参数'!$D$47/12,D44)+IF(F44="",0,F44)+IF(H44="",0,H44))*IF(J44="",'经营参数'!$D$20,J44),"")</f>
        <v/>
      </c>
      <c r="X44" s="70">
        <f>IF(A44="是",(IF(D44="",'经营参数'!$D$47/12,D44)+IF(F44="",0,F44)+IF(H44="",0,H44))*IF(K44="",'经营参数'!$D$22,K44)+IF(L44="",'经营参数'!$D$21/12,L44),"")</f>
        <v/>
      </c>
      <c r="Y44" s="70">
        <f>IF(A44="是",IF(M44="",(IF(D44="",'经营参数'!$D$47/12,D44)+IF(F44="",0,F44)+IF(H44="",0,H44))*'经营参数'!$D$51,M44)*IF(N44="",'经营参数'!$D$29,N44)+IF(O44="",(IF(D44="",'经营参数'!$D$47/12,D44)+IF(F44="",0,F44)+IF(H44="",0,H44))*'经营参数'!$D$52,O44)*IF(P44="",'经营参数'!$D$30,P44),"")</f>
        <v/>
      </c>
      <c r="Z44" s="70">
        <f>IF(A44="是",W44+X44+Y44+IF(Q44="",'经营参数'!$D$25/12,Q44)+IF(R44="",'经营参数'!$D$24/12,R44)+IF(S44="",0,S44),"")</f>
        <v/>
      </c>
      <c r="AA44" s="70">
        <f>IF(A44="是",MAX(0,(V44-Z44)*IF(T44="",'经营参数'!$D$26,T44)),"")</f>
        <v/>
      </c>
      <c r="AB44" s="70">
        <f>IF(A44="是",V44-Z44-AA44,"")</f>
        <v/>
      </c>
      <c r="AC44" s="70">
        <f>IF(A44="是",MAX(0,AB44*IF(U44="",'经营参数'!$D$27,U44)),"")</f>
        <v/>
      </c>
      <c r="AD44" s="70">
        <f>IF(A44="是",AB44-AC44,"")</f>
        <v/>
      </c>
      <c r="AE44" s="20" t="inlineStr">
        <is>
          <t>黄色格为空时，右侧公式使用经营参数中的基础值；启用后，游戏优先采用本行已计算的结果。</t>
        </is>
      </c>
    </row>
    <row r="45">
      <c r="A45" s="34" t="inlineStr">
        <is>
          <t>否</t>
        </is>
      </c>
      <c r="B45" s="20" t="inlineStr">
        <is>
          <t>2033-06</t>
        </is>
      </c>
      <c r="C45" s="63" t="n"/>
      <c r="D45" s="63" t="n"/>
      <c r="E45" s="63" t="n"/>
      <c r="F45" s="63" t="n"/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70">
        <f>IF(A45="是",IF(D45="",'经营参数'!$D$47/12,D45)*IF(E45="",'经营参数'!$D$44,E45)+IF(F45="",0,F45)*IF(G45="",'经营参数'!$D$45,G45)+IF(H45="",0,H45)*IF(I45="",'经营参数'!$D$46,I45),"")</f>
        <v/>
      </c>
      <c r="W45" s="70">
        <f>IF(A45="是",(IF(D45="",'经营参数'!$D$47/12,D45)+IF(F45="",0,F45)+IF(H45="",0,H45))*IF(J45="",'经营参数'!$D$20,J45),"")</f>
        <v/>
      </c>
      <c r="X45" s="70">
        <f>IF(A45="是",(IF(D45="",'经营参数'!$D$47/12,D45)+IF(F45="",0,F45)+IF(H45="",0,H45))*IF(K45="",'经营参数'!$D$22,K45)+IF(L45="",'经营参数'!$D$21/12,L45),"")</f>
        <v/>
      </c>
      <c r="Y45" s="70">
        <f>IF(A45="是",IF(M45="",(IF(D45="",'经营参数'!$D$47/12,D45)+IF(F45="",0,F45)+IF(H45="",0,H45))*'经营参数'!$D$51,M45)*IF(N45="",'经营参数'!$D$29,N45)+IF(O45="",(IF(D45="",'经营参数'!$D$47/12,D45)+IF(F45="",0,F45)+IF(H45="",0,H45))*'经营参数'!$D$52,O45)*IF(P45="",'经营参数'!$D$30,P45),"")</f>
        <v/>
      </c>
      <c r="Z45" s="70">
        <f>IF(A45="是",W45+X45+Y45+IF(Q45="",'经营参数'!$D$25/12,Q45)+IF(R45="",'经营参数'!$D$24/12,R45)+IF(S45="",0,S45),"")</f>
        <v/>
      </c>
      <c r="AA45" s="70">
        <f>IF(A45="是",MAX(0,(V45-Z45)*IF(T45="",'经营参数'!$D$26,T45)),"")</f>
        <v/>
      </c>
      <c r="AB45" s="70">
        <f>IF(A45="是",V45-Z45-AA45,"")</f>
        <v/>
      </c>
      <c r="AC45" s="70">
        <f>IF(A45="是",MAX(0,AB45*IF(U45="",'经营参数'!$D$27,U45)),"")</f>
        <v/>
      </c>
      <c r="AD45" s="70">
        <f>IF(A45="是",AB45-AC45,"")</f>
        <v/>
      </c>
      <c r="AE45" s="20" t="inlineStr">
        <is>
          <t>黄色格为空时，右侧公式使用经营参数中的基础值；启用后，游戏优先采用本行已计算的结果。</t>
        </is>
      </c>
    </row>
    <row r="46">
      <c r="A46" s="34" t="inlineStr">
        <is>
          <t>否</t>
        </is>
      </c>
      <c r="B46" s="20" t="inlineStr">
        <is>
          <t>2033-07</t>
        </is>
      </c>
      <c r="C46" s="63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63" t="n"/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70">
        <f>IF(A46="是",IF(D46="",'经营参数'!$D$47/12,D46)*IF(E46="",'经营参数'!$D$44,E46)+IF(F46="",0,F46)*IF(G46="",'经营参数'!$D$45,G46)+IF(H46="",0,H46)*IF(I46="",'经营参数'!$D$46,I46),"")</f>
        <v/>
      </c>
      <c r="W46" s="70">
        <f>IF(A46="是",(IF(D46="",'经营参数'!$D$47/12,D46)+IF(F46="",0,F46)+IF(H46="",0,H46))*IF(J46="",'经营参数'!$D$20,J46),"")</f>
        <v/>
      </c>
      <c r="X46" s="70">
        <f>IF(A46="是",(IF(D46="",'经营参数'!$D$47/12,D46)+IF(F46="",0,F46)+IF(H46="",0,H46))*IF(K46="",'经营参数'!$D$22,K46)+IF(L46="",'经营参数'!$D$21/12,L46),"")</f>
        <v/>
      </c>
      <c r="Y46" s="70">
        <f>IF(A46="是",IF(M46="",(IF(D46="",'经营参数'!$D$47/12,D46)+IF(F46="",0,F46)+IF(H46="",0,H46))*'经营参数'!$D$51,M46)*IF(N46="",'经营参数'!$D$29,N46)+IF(O46="",(IF(D46="",'经营参数'!$D$47/12,D46)+IF(F46="",0,F46)+IF(H46="",0,H46))*'经营参数'!$D$52,O46)*IF(P46="",'经营参数'!$D$30,P46),"")</f>
        <v/>
      </c>
      <c r="Z46" s="70">
        <f>IF(A46="是",W46+X46+Y46+IF(Q46="",'经营参数'!$D$25/12,Q46)+IF(R46="",'经营参数'!$D$24/12,R46)+IF(S46="",0,S46),"")</f>
        <v/>
      </c>
      <c r="AA46" s="70">
        <f>IF(A46="是",MAX(0,(V46-Z46)*IF(T46="",'经营参数'!$D$26,T46)),"")</f>
        <v/>
      </c>
      <c r="AB46" s="70">
        <f>IF(A46="是",V46-Z46-AA46,"")</f>
        <v/>
      </c>
      <c r="AC46" s="70">
        <f>IF(A46="是",MAX(0,AB46*IF(U46="",'经营参数'!$D$27,U46)),"")</f>
        <v/>
      </c>
      <c r="AD46" s="70">
        <f>IF(A46="是",AB46-AC46,"")</f>
        <v/>
      </c>
      <c r="AE46" s="20" t="inlineStr">
        <is>
          <t>黄色格为空时，右侧公式使用经营参数中的基础值；启用后，游戏优先采用本行已计算的结果。</t>
        </is>
      </c>
    </row>
    <row r="47">
      <c r="A47" s="34" t="inlineStr">
        <is>
          <t>否</t>
        </is>
      </c>
      <c r="B47" s="20" t="inlineStr">
        <is>
          <t>2033-08</t>
        </is>
      </c>
      <c r="C47" s="63" t="n"/>
      <c r="D47" s="63" t="n"/>
      <c r="E47" s="63" t="n"/>
      <c r="F47" s="63" t="n"/>
      <c r="G47" s="63" t="n"/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70">
        <f>IF(A47="是",IF(D47="",'经营参数'!$D$47/12,D47)*IF(E47="",'经营参数'!$D$44,E47)+IF(F47="",0,F47)*IF(G47="",'经营参数'!$D$45,G47)+IF(H47="",0,H47)*IF(I47="",'经营参数'!$D$46,I47),"")</f>
        <v/>
      </c>
      <c r="W47" s="70">
        <f>IF(A47="是",(IF(D47="",'经营参数'!$D$47/12,D47)+IF(F47="",0,F47)+IF(H47="",0,H47))*IF(J47="",'经营参数'!$D$20,J47),"")</f>
        <v/>
      </c>
      <c r="X47" s="70">
        <f>IF(A47="是",(IF(D47="",'经营参数'!$D$47/12,D47)+IF(F47="",0,F47)+IF(H47="",0,H47))*IF(K47="",'经营参数'!$D$22,K47)+IF(L47="",'经营参数'!$D$21/12,L47),"")</f>
        <v/>
      </c>
      <c r="Y47" s="70">
        <f>IF(A47="是",IF(M47="",(IF(D47="",'经营参数'!$D$47/12,D47)+IF(F47="",0,F47)+IF(H47="",0,H47))*'经营参数'!$D$51,M47)*IF(N47="",'经营参数'!$D$29,N47)+IF(O47="",(IF(D47="",'经营参数'!$D$47/12,D47)+IF(F47="",0,F47)+IF(H47="",0,H47))*'经营参数'!$D$52,O47)*IF(P47="",'经营参数'!$D$30,P47),"")</f>
        <v/>
      </c>
      <c r="Z47" s="70">
        <f>IF(A47="是",W47+X47+Y47+IF(Q47="",'经营参数'!$D$25/12,Q47)+IF(R47="",'经营参数'!$D$24/12,R47)+IF(S47="",0,S47),"")</f>
        <v/>
      </c>
      <c r="AA47" s="70">
        <f>IF(A47="是",MAX(0,(V47-Z47)*IF(T47="",'经营参数'!$D$26,T47)),"")</f>
        <v/>
      </c>
      <c r="AB47" s="70">
        <f>IF(A47="是",V47-Z47-AA47,"")</f>
        <v/>
      </c>
      <c r="AC47" s="70">
        <f>IF(A47="是",MAX(0,AB47*IF(U47="",'经营参数'!$D$27,U47)),"")</f>
        <v/>
      </c>
      <c r="AD47" s="70">
        <f>IF(A47="是",AB47-AC47,"")</f>
        <v/>
      </c>
      <c r="AE47" s="20" t="inlineStr">
        <is>
          <t>黄色格为空时，右侧公式使用经营参数中的基础值；启用后，游戏优先采用本行已计算的结果。</t>
        </is>
      </c>
    </row>
    <row r="48">
      <c r="A48" s="34" t="inlineStr">
        <is>
          <t>否</t>
        </is>
      </c>
      <c r="B48" s="20" t="inlineStr">
        <is>
          <t>2033-09</t>
        </is>
      </c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70">
        <f>IF(A48="是",IF(D48="",'经营参数'!$D$47/12,D48)*IF(E48="",'经营参数'!$D$44,E48)+IF(F48="",0,F48)*IF(G48="",'经营参数'!$D$45,G48)+IF(H48="",0,H48)*IF(I48="",'经营参数'!$D$46,I48),"")</f>
        <v/>
      </c>
      <c r="W48" s="70">
        <f>IF(A48="是",(IF(D48="",'经营参数'!$D$47/12,D48)+IF(F48="",0,F48)+IF(H48="",0,H48))*IF(J48="",'经营参数'!$D$20,J48),"")</f>
        <v/>
      </c>
      <c r="X48" s="70">
        <f>IF(A48="是",(IF(D48="",'经营参数'!$D$47/12,D48)+IF(F48="",0,F48)+IF(H48="",0,H48))*IF(K48="",'经营参数'!$D$22,K48)+IF(L48="",'经营参数'!$D$21/12,L48),"")</f>
        <v/>
      </c>
      <c r="Y48" s="70">
        <f>IF(A48="是",IF(M48="",(IF(D48="",'经营参数'!$D$47/12,D48)+IF(F48="",0,F48)+IF(H48="",0,H48))*'经营参数'!$D$51,M48)*IF(N48="",'经营参数'!$D$29,N48)+IF(O48="",(IF(D48="",'经营参数'!$D$47/12,D48)+IF(F48="",0,F48)+IF(H48="",0,H48))*'经营参数'!$D$52,O48)*IF(P48="",'经营参数'!$D$30,P48),"")</f>
        <v/>
      </c>
      <c r="Z48" s="70">
        <f>IF(A48="是",W48+X48+Y48+IF(Q48="",'经营参数'!$D$25/12,Q48)+IF(R48="",'经营参数'!$D$24/12,R48)+IF(S48="",0,S48),"")</f>
        <v/>
      </c>
      <c r="AA48" s="70">
        <f>IF(A48="是",MAX(0,(V48-Z48)*IF(T48="",'经营参数'!$D$26,T48)),"")</f>
        <v/>
      </c>
      <c r="AB48" s="70">
        <f>IF(A48="是",V48-Z48-AA48,"")</f>
        <v/>
      </c>
      <c r="AC48" s="70">
        <f>IF(A48="是",MAX(0,AB48*IF(U48="",'经营参数'!$D$27,U48)),"")</f>
        <v/>
      </c>
      <c r="AD48" s="70">
        <f>IF(A48="是",AB48-AC48,"")</f>
        <v/>
      </c>
      <c r="AE48" s="20" t="inlineStr">
        <is>
          <t>黄色格为空时，右侧公式使用经营参数中的基础值；启用后，游戏优先采用本行已计算的结果。</t>
        </is>
      </c>
    </row>
    <row r="49">
      <c r="A49" s="34" t="inlineStr">
        <is>
          <t>否</t>
        </is>
      </c>
      <c r="B49" s="20" t="inlineStr">
        <is>
          <t>2033-10</t>
        </is>
      </c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70">
        <f>IF(A49="是",IF(D49="",'经营参数'!$D$47/12,D49)*IF(E49="",'经营参数'!$D$44,E49)+IF(F49="",0,F49)*IF(G49="",'经营参数'!$D$45,G49)+IF(H49="",0,H49)*IF(I49="",'经营参数'!$D$46,I49),"")</f>
        <v/>
      </c>
      <c r="W49" s="70">
        <f>IF(A49="是",(IF(D49="",'经营参数'!$D$47/12,D49)+IF(F49="",0,F49)+IF(H49="",0,H49))*IF(J49="",'经营参数'!$D$20,J49),"")</f>
        <v/>
      </c>
      <c r="X49" s="70">
        <f>IF(A49="是",(IF(D49="",'经营参数'!$D$47/12,D49)+IF(F49="",0,F49)+IF(H49="",0,H49))*IF(K49="",'经营参数'!$D$22,K49)+IF(L49="",'经营参数'!$D$21/12,L49),"")</f>
        <v/>
      </c>
      <c r="Y49" s="70">
        <f>IF(A49="是",IF(M49="",(IF(D49="",'经营参数'!$D$47/12,D49)+IF(F49="",0,F49)+IF(H49="",0,H49))*'经营参数'!$D$51,M49)*IF(N49="",'经营参数'!$D$29,N49)+IF(O49="",(IF(D49="",'经营参数'!$D$47/12,D49)+IF(F49="",0,F49)+IF(H49="",0,H49))*'经营参数'!$D$52,O49)*IF(P49="",'经营参数'!$D$30,P49),"")</f>
        <v/>
      </c>
      <c r="Z49" s="70">
        <f>IF(A49="是",W49+X49+Y49+IF(Q49="",'经营参数'!$D$25/12,Q49)+IF(R49="",'经营参数'!$D$24/12,R49)+IF(S49="",0,S49),"")</f>
        <v/>
      </c>
      <c r="AA49" s="70">
        <f>IF(A49="是",MAX(0,(V49-Z49)*IF(T49="",'经营参数'!$D$26,T49)),"")</f>
        <v/>
      </c>
      <c r="AB49" s="70">
        <f>IF(A49="是",V49-Z49-AA49,"")</f>
        <v/>
      </c>
      <c r="AC49" s="70">
        <f>IF(A49="是",MAX(0,AB49*IF(U49="",'经营参数'!$D$27,U49)),"")</f>
        <v/>
      </c>
      <c r="AD49" s="70">
        <f>IF(A49="是",AB49-AC49,"")</f>
        <v/>
      </c>
      <c r="AE49" s="20" t="inlineStr">
        <is>
          <t>黄色格为空时，右侧公式使用经营参数中的基础值；启用后，游戏优先采用本行已计算的结果。</t>
        </is>
      </c>
    </row>
    <row r="50">
      <c r="A50" s="34" t="inlineStr">
        <is>
          <t>否</t>
        </is>
      </c>
      <c r="B50" s="20" t="inlineStr">
        <is>
          <t>2033-11</t>
        </is>
      </c>
      <c r="C50" s="63" t="n"/>
      <c r="D50" s="63" t="n"/>
      <c r="E50" s="63" t="n"/>
      <c r="F50" s="63" t="n"/>
      <c r="G50" s="63" t="n"/>
      <c r="H50" s="63" t="n"/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70">
        <f>IF(A50="是",IF(D50="",'经营参数'!$D$47/12,D50)*IF(E50="",'经营参数'!$D$44,E50)+IF(F50="",0,F50)*IF(G50="",'经营参数'!$D$45,G50)+IF(H50="",0,H50)*IF(I50="",'经营参数'!$D$46,I50),"")</f>
        <v/>
      </c>
      <c r="W50" s="70">
        <f>IF(A50="是",(IF(D50="",'经营参数'!$D$47/12,D50)+IF(F50="",0,F50)+IF(H50="",0,H50))*IF(J50="",'经营参数'!$D$20,J50),"")</f>
        <v/>
      </c>
      <c r="X50" s="70">
        <f>IF(A50="是",(IF(D50="",'经营参数'!$D$47/12,D50)+IF(F50="",0,F50)+IF(H50="",0,H50))*IF(K50="",'经营参数'!$D$22,K50)+IF(L50="",'经营参数'!$D$21/12,L50),"")</f>
        <v/>
      </c>
      <c r="Y50" s="70">
        <f>IF(A50="是",IF(M50="",(IF(D50="",'经营参数'!$D$47/12,D50)+IF(F50="",0,F50)+IF(H50="",0,H50))*'经营参数'!$D$51,M50)*IF(N50="",'经营参数'!$D$29,N50)+IF(O50="",(IF(D50="",'经营参数'!$D$47/12,D50)+IF(F50="",0,F50)+IF(H50="",0,H50))*'经营参数'!$D$52,O50)*IF(P50="",'经营参数'!$D$30,P50),"")</f>
        <v/>
      </c>
      <c r="Z50" s="70">
        <f>IF(A50="是",W50+X50+Y50+IF(Q50="",'经营参数'!$D$25/12,Q50)+IF(R50="",'经营参数'!$D$24/12,R50)+IF(S50="",0,S50),"")</f>
        <v/>
      </c>
      <c r="AA50" s="70">
        <f>IF(A50="是",MAX(0,(V50-Z50)*IF(T50="",'经营参数'!$D$26,T50)),"")</f>
        <v/>
      </c>
      <c r="AB50" s="70">
        <f>IF(A50="是",V50-Z50-AA50,"")</f>
        <v/>
      </c>
      <c r="AC50" s="70">
        <f>IF(A50="是",MAX(0,AB50*IF(U50="",'经营参数'!$D$27,U50)),"")</f>
        <v/>
      </c>
      <c r="AD50" s="70">
        <f>IF(A50="是",AB50-AC50,"")</f>
        <v/>
      </c>
      <c r="AE50" s="20" t="inlineStr">
        <is>
          <t>黄色格为空时，右侧公式使用经营参数中的基础值；启用后，游戏优先采用本行已计算的结果。</t>
        </is>
      </c>
    </row>
    <row r="51">
      <c r="A51" s="34" t="inlineStr">
        <is>
          <t>否</t>
        </is>
      </c>
      <c r="B51" s="20" t="inlineStr">
        <is>
          <t>2033-12</t>
        </is>
      </c>
      <c r="C51" s="63" t="n"/>
      <c r="D51" s="63" t="n"/>
      <c r="E51" s="63" t="n"/>
      <c r="F51" s="63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70">
        <f>IF(A51="是",IF(D51="",'经营参数'!$D$47/12,D51)*IF(E51="",'经营参数'!$D$44,E51)+IF(F51="",0,F51)*IF(G51="",'经营参数'!$D$45,G51)+IF(H51="",0,H51)*IF(I51="",'经营参数'!$D$46,I51),"")</f>
        <v/>
      </c>
      <c r="W51" s="70">
        <f>IF(A51="是",(IF(D51="",'经营参数'!$D$47/12,D51)+IF(F51="",0,F51)+IF(H51="",0,H51))*IF(J51="",'经营参数'!$D$20,J51),"")</f>
        <v/>
      </c>
      <c r="X51" s="70">
        <f>IF(A51="是",(IF(D51="",'经营参数'!$D$47/12,D51)+IF(F51="",0,F51)+IF(H51="",0,H51))*IF(K51="",'经营参数'!$D$22,K51)+IF(L51="",'经营参数'!$D$21/12,L51),"")</f>
        <v/>
      </c>
      <c r="Y51" s="70">
        <f>IF(A51="是",IF(M51="",(IF(D51="",'经营参数'!$D$47/12,D51)+IF(F51="",0,F51)+IF(H51="",0,H51))*'经营参数'!$D$51,M51)*IF(N51="",'经营参数'!$D$29,N51)+IF(O51="",(IF(D51="",'经营参数'!$D$47/12,D51)+IF(F51="",0,F51)+IF(H51="",0,H51))*'经营参数'!$D$52,O51)*IF(P51="",'经营参数'!$D$30,P51),"")</f>
        <v/>
      </c>
      <c r="Z51" s="70">
        <f>IF(A51="是",W51+X51+Y51+IF(Q51="",'经营参数'!$D$25/12,Q51)+IF(R51="",'经营参数'!$D$24/12,R51)+IF(S51="",0,S51),"")</f>
        <v/>
      </c>
      <c r="AA51" s="70">
        <f>IF(A51="是",MAX(0,(V51-Z51)*IF(T51="",'经营参数'!$D$26,T51)),"")</f>
        <v/>
      </c>
      <c r="AB51" s="70">
        <f>IF(A51="是",V51-Z51-AA51,"")</f>
        <v/>
      </c>
      <c r="AC51" s="70">
        <f>IF(A51="是",MAX(0,AB51*IF(U51="",'经营参数'!$D$27,U51)),"")</f>
        <v/>
      </c>
      <c r="AD51" s="70">
        <f>IF(A51="是",AB51-AC51,"")</f>
        <v/>
      </c>
      <c r="AE51" s="20" t="inlineStr">
        <is>
          <t>黄色格为空时，右侧公式使用经营参数中的基础值；启用后，游戏优先采用本行已计算的结果。</t>
        </is>
      </c>
    </row>
    <row r="52">
      <c r="A52" s="34" t="inlineStr">
        <is>
          <t>否</t>
        </is>
      </c>
      <c r="B52" s="20" t="inlineStr">
        <is>
          <t>2034-01</t>
        </is>
      </c>
      <c r="C52" s="63" t="n"/>
      <c r="D52" s="63" t="n"/>
      <c r="E52" s="63" t="n"/>
      <c r="F52" s="63" t="n"/>
      <c r="G52" s="63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70">
        <f>IF(A52="是",IF(D52="",'经营参数'!$D$47/12,D52)*IF(E52="",'经营参数'!$D$44,E52)+IF(F52="",0,F52)*IF(G52="",'经营参数'!$D$45,G52)+IF(H52="",0,H52)*IF(I52="",'经营参数'!$D$46,I52),"")</f>
        <v/>
      </c>
      <c r="W52" s="70">
        <f>IF(A52="是",(IF(D52="",'经营参数'!$D$47/12,D52)+IF(F52="",0,F52)+IF(H52="",0,H52))*IF(J52="",'经营参数'!$D$20,J52),"")</f>
        <v/>
      </c>
      <c r="X52" s="70">
        <f>IF(A52="是",(IF(D52="",'经营参数'!$D$47/12,D52)+IF(F52="",0,F52)+IF(H52="",0,H52))*IF(K52="",'经营参数'!$D$22,K52)+IF(L52="",'经营参数'!$D$21/12,L52),"")</f>
        <v/>
      </c>
      <c r="Y52" s="70">
        <f>IF(A52="是",IF(M52="",(IF(D52="",'经营参数'!$D$47/12,D52)+IF(F52="",0,F52)+IF(H52="",0,H52))*'经营参数'!$D$51,M52)*IF(N52="",'经营参数'!$D$29,N52)+IF(O52="",(IF(D52="",'经营参数'!$D$47/12,D52)+IF(F52="",0,F52)+IF(H52="",0,H52))*'经营参数'!$D$52,O52)*IF(P52="",'经营参数'!$D$30,P52),"")</f>
        <v/>
      </c>
      <c r="Z52" s="70">
        <f>IF(A52="是",W52+X52+Y52+IF(Q52="",'经营参数'!$D$25/12,Q52)+IF(R52="",'经营参数'!$D$24/12,R52)+IF(S52="",0,S52),"")</f>
        <v/>
      </c>
      <c r="AA52" s="70">
        <f>IF(A52="是",MAX(0,(V52-Z52)*IF(T52="",'经营参数'!$D$26,T52)),"")</f>
        <v/>
      </c>
      <c r="AB52" s="70">
        <f>IF(A52="是",V52-Z52-AA52,"")</f>
        <v/>
      </c>
      <c r="AC52" s="70">
        <f>IF(A52="是",MAX(0,AB52*IF(U52="",'经营参数'!$D$27,U52)),"")</f>
        <v/>
      </c>
      <c r="AD52" s="70">
        <f>IF(A52="是",AB52-AC52,"")</f>
        <v/>
      </c>
      <c r="AE52" s="20" t="inlineStr">
        <is>
          <t>黄色格为空时，右侧公式使用经营参数中的基础值；启用后，游戏优先采用本行已计算的结果。</t>
        </is>
      </c>
    </row>
    <row r="53">
      <c r="A53" s="34" t="inlineStr">
        <is>
          <t>否</t>
        </is>
      </c>
      <c r="B53" s="20" t="inlineStr">
        <is>
          <t>2034-02</t>
        </is>
      </c>
      <c r="C53" s="63" t="n"/>
      <c r="D53" s="63" t="n"/>
      <c r="E53" s="63" t="n"/>
      <c r="F53" s="63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70">
        <f>IF(A53="是",IF(D53="",'经营参数'!$D$47/12,D53)*IF(E53="",'经营参数'!$D$44,E53)+IF(F53="",0,F53)*IF(G53="",'经营参数'!$D$45,G53)+IF(H53="",0,H53)*IF(I53="",'经营参数'!$D$46,I53),"")</f>
        <v/>
      </c>
      <c r="W53" s="70">
        <f>IF(A53="是",(IF(D53="",'经营参数'!$D$47/12,D53)+IF(F53="",0,F53)+IF(H53="",0,H53))*IF(J53="",'经营参数'!$D$20,J53),"")</f>
        <v/>
      </c>
      <c r="X53" s="70">
        <f>IF(A53="是",(IF(D53="",'经营参数'!$D$47/12,D53)+IF(F53="",0,F53)+IF(H53="",0,H53))*IF(K53="",'经营参数'!$D$22,K53)+IF(L53="",'经营参数'!$D$21/12,L53),"")</f>
        <v/>
      </c>
      <c r="Y53" s="70">
        <f>IF(A53="是",IF(M53="",(IF(D53="",'经营参数'!$D$47/12,D53)+IF(F53="",0,F53)+IF(H53="",0,H53))*'经营参数'!$D$51,M53)*IF(N53="",'经营参数'!$D$29,N53)+IF(O53="",(IF(D53="",'经营参数'!$D$47/12,D53)+IF(F53="",0,F53)+IF(H53="",0,H53))*'经营参数'!$D$52,O53)*IF(P53="",'经营参数'!$D$30,P53),"")</f>
        <v/>
      </c>
      <c r="Z53" s="70">
        <f>IF(A53="是",W53+X53+Y53+IF(Q53="",'经营参数'!$D$25/12,Q53)+IF(R53="",'经营参数'!$D$24/12,R53)+IF(S53="",0,S53),"")</f>
        <v/>
      </c>
      <c r="AA53" s="70">
        <f>IF(A53="是",MAX(0,(V53-Z53)*IF(T53="",'经营参数'!$D$26,T53)),"")</f>
        <v/>
      </c>
      <c r="AB53" s="70">
        <f>IF(A53="是",V53-Z53-AA53,"")</f>
        <v/>
      </c>
      <c r="AC53" s="70">
        <f>IF(A53="是",MAX(0,AB53*IF(U53="",'经营参数'!$D$27,U53)),"")</f>
        <v/>
      </c>
      <c r="AD53" s="70">
        <f>IF(A53="是",AB53-AC53,"")</f>
        <v/>
      </c>
      <c r="AE53" s="20" t="inlineStr">
        <is>
          <t>黄色格为空时，右侧公式使用经营参数中的基础值；启用后，游戏优先采用本行已计算的结果。</t>
        </is>
      </c>
    </row>
    <row r="54">
      <c r="A54" s="34" t="inlineStr">
        <is>
          <t>否</t>
        </is>
      </c>
      <c r="B54" s="20" t="inlineStr">
        <is>
          <t>2034-03</t>
        </is>
      </c>
      <c r="C54" s="63" t="n"/>
      <c r="D54" s="63" t="n"/>
      <c r="E54" s="63" t="n"/>
      <c r="F54" s="63" t="n"/>
      <c r="G54" s="63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70">
        <f>IF(A54="是",IF(D54="",'经营参数'!$D$47/12,D54)*IF(E54="",'经营参数'!$D$44,E54)+IF(F54="",0,F54)*IF(G54="",'经营参数'!$D$45,G54)+IF(H54="",0,H54)*IF(I54="",'经营参数'!$D$46,I54),"")</f>
        <v/>
      </c>
      <c r="W54" s="70">
        <f>IF(A54="是",(IF(D54="",'经营参数'!$D$47/12,D54)+IF(F54="",0,F54)+IF(H54="",0,H54))*IF(J54="",'经营参数'!$D$20,J54),"")</f>
        <v/>
      </c>
      <c r="X54" s="70">
        <f>IF(A54="是",(IF(D54="",'经营参数'!$D$47/12,D54)+IF(F54="",0,F54)+IF(H54="",0,H54))*IF(K54="",'经营参数'!$D$22,K54)+IF(L54="",'经营参数'!$D$21/12,L54),"")</f>
        <v/>
      </c>
      <c r="Y54" s="70">
        <f>IF(A54="是",IF(M54="",(IF(D54="",'经营参数'!$D$47/12,D54)+IF(F54="",0,F54)+IF(H54="",0,H54))*'经营参数'!$D$51,M54)*IF(N54="",'经营参数'!$D$29,N54)+IF(O54="",(IF(D54="",'经营参数'!$D$47/12,D54)+IF(F54="",0,F54)+IF(H54="",0,H54))*'经营参数'!$D$52,O54)*IF(P54="",'经营参数'!$D$30,P54),"")</f>
        <v/>
      </c>
      <c r="Z54" s="70">
        <f>IF(A54="是",W54+X54+Y54+IF(Q54="",'经营参数'!$D$25/12,Q54)+IF(R54="",'经营参数'!$D$24/12,R54)+IF(S54="",0,S54),"")</f>
        <v/>
      </c>
      <c r="AA54" s="70">
        <f>IF(A54="是",MAX(0,(V54-Z54)*IF(T54="",'经营参数'!$D$26,T54)),"")</f>
        <v/>
      </c>
      <c r="AB54" s="70">
        <f>IF(A54="是",V54-Z54-AA54,"")</f>
        <v/>
      </c>
      <c r="AC54" s="70">
        <f>IF(A54="是",MAX(0,AB54*IF(U54="",'经营参数'!$D$27,U54)),"")</f>
        <v/>
      </c>
      <c r="AD54" s="70">
        <f>IF(A54="是",AB54-AC54,"")</f>
        <v/>
      </c>
      <c r="AE54" s="20" t="inlineStr">
        <is>
          <t>黄色格为空时，右侧公式使用经营参数中的基础值；启用后，游戏优先采用本行已计算的结果。</t>
        </is>
      </c>
    </row>
    <row r="55">
      <c r="A55" s="34" t="inlineStr">
        <is>
          <t>否</t>
        </is>
      </c>
      <c r="B55" s="20" t="inlineStr">
        <is>
          <t>2034-04</t>
        </is>
      </c>
      <c r="C55" s="63" t="n"/>
      <c r="D55" s="63" t="n"/>
      <c r="E55" s="63" t="n"/>
      <c r="F55" s="63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70">
        <f>IF(A55="是",IF(D55="",'经营参数'!$D$47/12,D55)*IF(E55="",'经营参数'!$D$44,E55)+IF(F55="",0,F55)*IF(G55="",'经营参数'!$D$45,G55)+IF(H55="",0,H55)*IF(I55="",'经营参数'!$D$46,I55),"")</f>
        <v/>
      </c>
      <c r="W55" s="70">
        <f>IF(A55="是",(IF(D55="",'经营参数'!$D$47/12,D55)+IF(F55="",0,F55)+IF(H55="",0,H55))*IF(J55="",'经营参数'!$D$20,J55),"")</f>
        <v/>
      </c>
      <c r="X55" s="70">
        <f>IF(A55="是",(IF(D55="",'经营参数'!$D$47/12,D55)+IF(F55="",0,F55)+IF(H55="",0,H55))*IF(K55="",'经营参数'!$D$22,K55)+IF(L55="",'经营参数'!$D$21/12,L55),"")</f>
        <v/>
      </c>
      <c r="Y55" s="70">
        <f>IF(A55="是",IF(M55="",(IF(D55="",'经营参数'!$D$47/12,D55)+IF(F55="",0,F55)+IF(H55="",0,H55))*'经营参数'!$D$51,M55)*IF(N55="",'经营参数'!$D$29,N55)+IF(O55="",(IF(D55="",'经营参数'!$D$47/12,D55)+IF(F55="",0,F55)+IF(H55="",0,H55))*'经营参数'!$D$52,O55)*IF(P55="",'经营参数'!$D$30,P55),"")</f>
        <v/>
      </c>
      <c r="Z55" s="70">
        <f>IF(A55="是",W55+X55+Y55+IF(Q55="",'经营参数'!$D$25/12,Q55)+IF(R55="",'经营参数'!$D$24/12,R55)+IF(S55="",0,S55),"")</f>
        <v/>
      </c>
      <c r="AA55" s="70">
        <f>IF(A55="是",MAX(0,(V55-Z55)*IF(T55="",'经营参数'!$D$26,T55)),"")</f>
        <v/>
      </c>
      <c r="AB55" s="70">
        <f>IF(A55="是",V55-Z55-AA55,"")</f>
        <v/>
      </c>
      <c r="AC55" s="70">
        <f>IF(A55="是",MAX(0,AB55*IF(U55="",'经营参数'!$D$27,U55)),"")</f>
        <v/>
      </c>
      <c r="AD55" s="70">
        <f>IF(A55="是",AB55-AC55,"")</f>
        <v/>
      </c>
      <c r="AE55" s="20" t="inlineStr">
        <is>
          <t>黄色格为空时，右侧公式使用经营参数中的基础值；启用后，游戏优先采用本行已计算的结果。</t>
        </is>
      </c>
    </row>
    <row r="56">
      <c r="A56" s="34" t="inlineStr">
        <is>
          <t>否</t>
        </is>
      </c>
      <c r="B56" s="20" t="inlineStr">
        <is>
          <t>2034-05</t>
        </is>
      </c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70">
        <f>IF(A56="是",IF(D56="",'经营参数'!$D$47/12,D56)*IF(E56="",'经营参数'!$D$44,E56)+IF(F56="",0,F56)*IF(G56="",'经营参数'!$D$45,G56)+IF(H56="",0,H56)*IF(I56="",'经营参数'!$D$46,I56),"")</f>
        <v/>
      </c>
      <c r="W56" s="70">
        <f>IF(A56="是",(IF(D56="",'经营参数'!$D$47/12,D56)+IF(F56="",0,F56)+IF(H56="",0,H56))*IF(J56="",'经营参数'!$D$20,J56),"")</f>
        <v/>
      </c>
      <c r="X56" s="70">
        <f>IF(A56="是",(IF(D56="",'经营参数'!$D$47/12,D56)+IF(F56="",0,F56)+IF(H56="",0,H56))*IF(K56="",'经营参数'!$D$22,K56)+IF(L56="",'经营参数'!$D$21/12,L56),"")</f>
        <v/>
      </c>
      <c r="Y56" s="70">
        <f>IF(A56="是",IF(M56="",(IF(D56="",'经营参数'!$D$47/12,D56)+IF(F56="",0,F56)+IF(H56="",0,H56))*'经营参数'!$D$51,M56)*IF(N56="",'经营参数'!$D$29,N56)+IF(O56="",(IF(D56="",'经营参数'!$D$47/12,D56)+IF(F56="",0,F56)+IF(H56="",0,H56))*'经营参数'!$D$52,O56)*IF(P56="",'经营参数'!$D$30,P56),"")</f>
        <v/>
      </c>
      <c r="Z56" s="70">
        <f>IF(A56="是",W56+X56+Y56+IF(Q56="",'经营参数'!$D$25/12,Q56)+IF(R56="",'经营参数'!$D$24/12,R56)+IF(S56="",0,S56),"")</f>
        <v/>
      </c>
      <c r="AA56" s="70">
        <f>IF(A56="是",MAX(0,(V56-Z56)*IF(T56="",'经营参数'!$D$26,T56)),"")</f>
        <v/>
      </c>
      <c r="AB56" s="70">
        <f>IF(A56="是",V56-Z56-AA56,"")</f>
        <v/>
      </c>
      <c r="AC56" s="70">
        <f>IF(A56="是",MAX(0,AB56*IF(U56="",'经营参数'!$D$27,U56)),"")</f>
        <v/>
      </c>
      <c r="AD56" s="70">
        <f>IF(A56="是",AB56-AC56,"")</f>
        <v/>
      </c>
      <c r="AE56" s="20" t="inlineStr">
        <is>
          <t>黄色格为空时，右侧公式使用经营参数中的基础值；启用后，游戏优先采用本行已计算的结果。</t>
        </is>
      </c>
    </row>
    <row r="57">
      <c r="A57" s="34" t="inlineStr">
        <is>
          <t>否</t>
        </is>
      </c>
      <c r="B57" s="20" t="inlineStr">
        <is>
          <t>2034-06</t>
        </is>
      </c>
      <c r="C57" s="63" t="n"/>
      <c r="D57" s="63" t="n"/>
      <c r="E57" s="63" t="n"/>
      <c r="F57" s="63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70">
        <f>IF(A57="是",IF(D57="",'经营参数'!$D$47/12,D57)*IF(E57="",'经营参数'!$D$44,E57)+IF(F57="",0,F57)*IF(G57="",'经营参数'!$D$45,G57)+IF(H57="",0,H57)*IF(I57="",'经营参数'!$D$46,I57),"")</f>
        <v/>
      </c>
      <c r="W57" s="70">
        <f>IF(A57="是",(IF(D57="",'经营参数'!$D$47/12,D57)+IF(F57="",0,F57)+IF(H57="",0,H57))*IF(J57="",'经营参数'!$D$20,J57),"")</f>
        <v/>
      </c>
      <c r="X57" s="70">
        <f>IF(A57="是",(IF(D57="",'经营参数'!$D$47/12,D57)+IF(F57="",0,F57)+IF(H57="",0,H57))*IF(K57="",'经营参数'!$D$22,K57)+IF(L57="",'经营参数'!$D$21/12,L57),"")</f>
        <v/>
      </c>
      <c r="Y57" s="70">
        <f>IF(A57="是",IF(M57="",(IF(D57="",'经营参数'!$D$47/12,D57)+IF(F57="",0,F57)+IF(H57="",0,H57))*'经营参数'!$D$51,M57)*IF(N57="",'经营参数'!$D$29,N57)+IF(O57="",(IF(D57="",'经营参数'!$D$47/12,D57)+IF(F57="",0,F57)+IF(H57="",0,H57))*'经营参数'!$D$52,O57)*IF(P57="",'经营参数'!$D$30,P57),"")</f>
        <v/>
      </c>
      <c r="Z57" s="70">
        <f>IF(A57="是",W57+X57+Y57+IF(Q57="",'经营参数'!$D$25/12,Q57)+IF(R57="",'经营参数'!$D$24/12,R57)+IF(S57="",0,S57),"")</f>
        <v/>
      </c>
      <c r="AA57" s="70">
        <f>IF(A57="是",MAX(0,(V57-Z57)*IF(T57="",'经营参数'!$D$26,T57)),"")</f>
        <v/>
      </c>
      <c r="AB57" s="70">
        <f>IF(A57="是",V57-Z57-AA57,"")</f>
        <v/>
      </c>
      <c r="AC57" s="70">
        <f>IF(A57="是",MAX(0,AB57*IF(U57="",'经营参数'!$D$27,U57)),"")</f>
        <v/>
      </c>
      <c r="AD57" s="70">
        <f>IF(A57="是",AB57-AC57,"")</f>
        <v/>
      </c>
      <c r="AE57" s="20" t="inlineStr">
        <is>
          <t>黄色格为空时，右侧公式使用经营参数中的基础值；启用后，游戏优先采用本行已计算的结果。</t>
        </is>
      </c>
    </row>
    <row r="58">
      <c r="A58" s="34" t="inlineStr">
        <is>
          <t>否</t>
        </is>
      </c>
      <c r="B58" s="20" t="inlineStr">
        <is>
          <t>2034-07</t>
        </is>
      </c>
      <c r="C58" s="63" t="n"/>
      <c r="D58" s="63" t="n"/>
      <c r="E58" s="63" t="n"/>
      <c r="F58" s="63" t="n"/>
      <c r="G58" s="63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70">
        <f>IF(A58="是",IF(D58="",'经营参数'!$D$47/12,D58)*IF(E58="",'经营参数'!$D$44,E58)+IF(F58="",0,F58)*IF(G58="",'经营参数'!$D$45,G58)+IF(H58="",0,H58)*IF(I58="",'经营参数'!$D$46,I58),"")</f>
        <v/>
      </c>
      <c r="W58" s="70">
        <f>IF(A58="是",(IF(D58="",'经营参数'!$D$47/12,D58)+IF(F58="",0,F58)+IF(H58="",0,H58))*IF(J58="",'经营参数'!$D$20,J58),"")</f>
        <v/>
      </c>
      <c r="X58" s="70">
        <f>IF(A58="是",(IF(D58="",'经营参数'!$D$47/12,D58)+IF(F58="",0,F58)+IF(H58="",0,H58))*IF(K58="",'经营参数'!$D$22,K58)+IF(L58="",'经营参数'!$D$21/12,L58),"")</f>
        <v/>
      </c>
      <c r="Y58" s="70">
        <f>IF(A58="是",IF(M58="",(IF(D58="",'经营参数'!$D$47/12,D58)+IF(F58="",0,F58)+IF(H58="",0,H58))*'经营参数'!$D$51,M58)*IF(N58="",'经营参数'!$D$29,N58)+IF(O58="",(IF(D58="",'经营参数'!$D$47/12,D58)+IF(F58="",0,F58)+IF(H58="",0,H58))*'经营参数'!$D$52,O58)*IF(P58="",'经营参数'!$D$30,P58),"")</f>
        <v/>
      </c>
      <c r="Z58" s="70">
        <f>IF(A58="是",W58+X58+Y58+IF(Q58="",'经营参数'!$D$25/12,Q58)+IF(R58="",'经营参数'!$D$24/12,R58)+IF(S58="",0,S58),"")</f>
        <v/>
      </c>
      <c r="AA58" s="70">
        <f>IF(A58="是",MAX(0,(V58-Z58)*IF(T58="",'经营参数'!$D$26,T58)),"")</f>
        <v/>
      </c>
      <c r="AB58" s="70">
        <f>IF(A58="是",V58-Z58-AA58,"")</f>
        <v/>
      </c>
      <c r="AC58" s="70">
        <f>IF(A58="是",MAX(0,AB58*IF(U58="",'经营参数'!$D$27,U58)),"")</f>
        <v/>
      </c>
      <c r="AD58" s="70">
        <f>IF(A58="是",AB58-AC58,"")</f>
        <v/>
      </c>
      <c r="AE58" s="20" t="inlineStr">
        <is>
          <t>黄色格为空时，右侧公式使用经营参数中的基础值；启用后，游戏优先采用本行已计算的结果。</t>
        </is>
      </c>
    </row>
    <row r="59">
      <c r="A59" s="34" t="inlineStr">
        <is>
          <t>否</t>
        </is>
      </c>
      <c r="B59" s="20" t="inlineStr">
        <is>
          <t>2034-08</t>
        </is>
      </c>
      <c r="C59" s="63" t="n"/>
      <c r="D59" s="63" t="n"/>
      <c r="E59" s="63" t="n"/>
      <c r="F59" s="63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70">
        <f>IF(A59="是",IF(D59="",'经营参数'!$D$47/12,D59)*IF(E59="",'经营参数'!$D$44,E59)+IF(F59="",0,F59)*IF(G59="",'经营参数'!$D$45,G59)+IF(H59="",0,H59)*IF(I59="",'经营参数'!$D$46,I59),"")</f>
        <v/>
      </c>
      <c r="W59" s="70">
        <f>IF(A59="是",(IF(D59="",'经营参数'!$D$47/12,D59)+IF(F59="",0,F59)+IF(H59="",0,H59))*IF(J59="",'经营参数'!$D$20,J59),"")</f>
        <v/>
      </c>
      <c r="X59" s="70">
        <f>IF(A59="是",(IF(D59="",'经营参数'!$D$47/12,D59)+IF(F59="",0,F59)+IF(H59="",0,H59))*IF(K59="",'经营参数'!$D$22,K59)+IF(L59="",'经营参数'!$D$21/12,L59),"")</f>
        <v/>
      </c>
      <c r="Y59" s="70">
        <f>IF(A59="是",IF(M59="",(IF(D59="",'经营参数'!$D$47/12,D59)+IF(F59="",0,F59)+IF(H59="",0,H59))*'经营参数'!$D$51,M59)*IF(N59="",'经营参数'!$D$29,N59)+IF(O59="",(IF(D59="",'经营参数'!$D$47/12,D59)+IF(F59="",0,F59)+IF(H59="",0,H59))*'经营参数'!$D$52,O59)*IF(P59="",'经营参数'!$D$30,P59),"")</f>
        <v/>
      </c>
      <c r="Z59" s="70">
        <f>IF(A59="是",W59+X59+Y59+IF(Q59="",'经营参数'!$D$25/12,Q59)+IF(R59="",'经营参数'!$D$24/12,R59)+IF(S59="",0,S59),"")</f>
        <v/>
      </c>
      <c r="AA59" s="70">
        <f>IF(A59="是",MAX(0,(V59-Z59)*IF(T59="",'经营参数'!$D$26,T59)),"")</f>
        <v/>
      </c>
      <c r="AB59" s="70">
        <f>IF(A59="是",V59-Z59-AA59,"")</f>
        <v/>
      </c>
      <c r="AC59" s="70">
        <f>IF(A59="是",MAX(0,AB59*IF(U59="",'经营参数'!$D$27,U59)),"")</f>
        <v/>
      </c>
      <c r="AD59" s="70">
        <f>IF(A59="是",AB59-AC59,"")</f>
        <v/>
      </c>
      <c r="AE59" s="20" t="inlineStr">
        <is>
          <t>黄色格为空时，右侧公式使用经营参数中的基础值；启用后，游戏优先采用本行已计算的结果。</t>
        </is>
      </c>
    </row>
    <row r="60">
      <c r="A60" s="34" t="inlineStr">
        <is>
          <t>否</t>
        </is>
      </c>
      <c r="B60" s="20" t="inlineStr">
        <is>
          <t>2034-09</t>
        </is>
      </c>
      <c r="C60" s="63" t="n"/>
      <c r="D60" s="63" t="n"/>
      <c r="E60" s="63" t="n"/>
      <c r="F60" s="63" t="n"/>
      <c r="G60" s="63" t="n"/>
      <c r="H60" s="63" t="n"/>
      <c r="I60" s="63" t="n"/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70">
        <f>IF(A60="是",IF(D60="",'经营参数'!$D$47/12,D60)*IF(E60="",'经营参数'!$D$44,E60)+IF(F60="",0,F60)*IF(G60="",'经营参数'!$D$45,G60)+IF(H60="",0,H60)*IF(I60="",'经营参数'!$D$46,I60),"")</f>
        <v/>
      </c>
      <c r="W60" s="70">
        <f>IF(A60="是",(IF(D60="",'经营参数'!$D$47/12,D60)+IF(F60="",0,F60)+IF(H60="",0,H60))*IF(J60="",'经营参数'!$D$20,J60),"")</f>
        <v/>
      </c>
      <c r="X60" s="70">
        <f>IF(A60="是",(IF(D60="",'经营参数'!$D$47/12,D60)+IF(F60="",0,F60)+IF(H60="",0,H60))*IF(K60="",'经营参数'!$D$22,K60)+IF(L60="",'经营参数'!$D$21/12,L60),"")</f>
        <v/>
      </c>
      <c r="Y60" s="70">
        <f>IF(A60="是",IF(M60="",(IF(D60="",'经营参数'!$D$47/12,D60)+IF(F60="",0,F60)+IF(H60="",0,H60))*'经营参数'!$D$51,M60)*IF(N60="",'经营参数'!$D$29,N60)+IF(O60="",(IF(D60="",'经营参数'!$D$47/12,D60)+IF(F60="",0,F60)+IF(H60="",0,H60))*'经营参数'!$D$52,O60)*IF(P60="",'经营参数'!$D$30,P60),"")</f>
        <v/>
      </c>
      <c r="Z60" s="70">
        <f>IF(A60="是",W60+X60+Y60+IF(Q60="",'经营参数'!$D$25/12,Q60)+IF(R60="",'经营参数'!$D$24/12,R60)+IF(S60="",0,S60),"")</f>
        <v/>
      </c>
      <c r="AA60" s="70">
        <f>IF(A60="是",MAX(0,(V60-Z60)*IF(T60="",'经营参数'!$D$26,T60)),"")</f>
        <v/>
      </c>
      <c r="AB60" s="70">
        <f>IF(A60="是",V60-Z60-AA60,"")</f>
        <v/>
      </c>
      <c r="AC60" s="70">
        <f>IF(A60="是",MAX(0,AB60*IF(U60="",'经营参数'!$D$27,U60)),"")</f>
        <v/>
      </c>
      <c r="AD60" s="70">
        <f>IF(A60="是",AB60-AC60,"")</f>
        <v/>
      </c>
      <c r="AE60" s="20" t="inlineStr">
        <is>
          <t>黄色格为空时，右侧公式使用经营参数中的基础值；启用后，游戏优先采用本行已计算的结果。</t>
        </is>
      </c>
    </row>
    <row r="61">
      <c r="A61" s="34" t="inlineStr">
        <is>
          <t>否</t>
        </is>
      </c>
      <c r="B61" s="20" t="inlineStr">
        <is>
          <t>2034-10</t>
        </is>
      </c>
      <c r="C61" s="63" t="n"/>
      <c r="D61" s="63" t="n"/>
      <c r="E61" s="63" t="n"/>
      <c r="F61" s="63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70">
        <f>IF(A61="是",IF(D61="",'经营参数'!$D$47/12,D61)*IF(E61="",'经营参数'!$D$44,E61)+IF(F61="",0,F61)*IF(G61="",'经营参数'!$D$45,G61)+IF(H61="",0,H61)*IF(I61="",'经营参数'!$D$46,I61),"")</f>
        <v/>
      </c>
      <c r="W61" s="70">
        <f>IF(A61="是",(IF(D61="",'经营参数'!$D$47/12,D61)+IF(F61="",0,F61)+IF(H61="",0,H61))*IF(J61="",'经营参数'!$D$20,J61),"")</f>
        <v/>
      </c>
      <c r="X61" s="70">
        <f>IF(A61="是",(IF(D61="",'经营参数'!$D$47/12,D61)+IF(F61="",0,F61)+IF(H61="",0,H61))*IF(K61="",'经营参数'!$D$22,K61)+IF(L61="",'经营参数'!$D$21/12,L61),"")</f>
        <v/>
      </c>
      <c r="Y61" s="70">
        <f>IF(A61="是",IF(M61="",(IF(D61="",'经营参数'!$D$47/12,D61)+IF(F61="",0,F61)+IF(H61="",0,H61))*'经营参数'!$D$51,M61)*IF(N61="",'经营参数'!$D$29,N61)+IF(O61="",(IF(D61="",'经营参数'!$D$47/12,D61)+IF(F61="",0,F61)+IF(H61="",0,H61))*'经营参数'!$D$52,O61)*IF(P61="",'经营参数'!$D$30,P61),"")</f>
        <v/>
      </c>
      <c r="Z61" s="70">
        <f>IF(A61="是",W61+X61+Y61+IF(Q61="",'经营参数'!$D$25/12,Q61)+IF(R61="",'经营参数'!$D$24/12,R61)+IF(S61="",0,S61),"")</f>
        <v/>
      </c>
      <c r="AA61" s="70">
        <f>IF(A61="是",MAX(0,(V61-Z61)*IF(T61="",'经营参数'!$D$26,T61)),"")</f>
        <v/>
      </c>
      <c r="AB61" s="70">
        <f>IF(A61="是",V61-Z61-AA61,"")</f>
        <v/>
      </c>
      <c r="AC61" s="70">
        <f>IF(A61="是",MAX(0,AB61*IF(U61="",'经营参数'!$D$27,U61)),"")</f>
        <v/>
      </c>
      <c r="AD61" s="70">
        <f>IF(A61="是",AB61-AC61,"")</f>
        <v/>
      </c>
      <c r="AE61" s="20" t="inlineStr">
        <is>
          <t>黄色格为空时，右侧公式使用经营参数中的基础值；启用后，游戏优先采用本行已计算的结果。</t>
        </is>
      </c>
    </row>
    <row r="62">
      <c r="A62" s="34" t="inlineStr">
        <is>
          <t>否</t>
        </is>
      </c>
      <c r="B62" s="20" t="inlineStr">
        <is>
          <t>2034-11</t>
        </is>
      </c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70">
        <f>IF(A62="是",IF(D62="",'经营参数'!$D$47/12,D62)*IF(E62="",'经营参数'!$D$44,E62)+IF(F62="",0,F62)*IF(G62="",'经营参数'!$D$45,G62)+IF(H62="",0,H62)*IF(I62="",'经营参数'!$D$46,I62),"")</f>
        <v/>
      </c>
      <c r="W62" s="70">
        <f>IF(A62="是",(IF(D62="",'经营参数'!$D$47/12,D62)+IF(F62="",0,F62)+IF(H62="",0,H62))*IF(J62="",'经营参数'!$D$20,J62),"")</f>
        <v/>
      </c>
      <c r="X62" s="70">
        <f>IF(A62="是",(IF(D62="",'经营参数'!$D$47/12,D62)+IF(F62="",0,F62)+IF(H62="",0,H62))*IF(K62="",'经营参数'!$D$22,K62)+IF(L62="",'经营参数'!$D$21/12,L62),"")</f>
        <v/>
      </c>
      <c r="Y62" s="70">
        <f>IF(A62="是",IF(M62="",(IF(D62="",'经营参数'!$D$47/12,D62)+IF(F62="",0,F62)+IF(H62="",0,H62))*'经营参数'!$D$51,M62)*IF(N62="",'经营参数'!$D$29,N62)+IF(O62="",(IF(D62="",'经营参数'!$D$47/12,D62)+IF(F62="",0,F62)+IF(H62="",0,H62))*'经营参数'!$D$52,O62)*IF(P62="",'经营参数'!$D$30,P62),"")</f>
        <v/>
      </c>
      <c r="Z62" s="70">
        <f>IF(A62="是",W62+X62+Y62+IF(Q62="",'经营参数'!$D$25/12,Q62)+IF(R62="",'经营参数'!$D$24/12,R62)+IF(S62="",0,S62),"")</f>
        <v/>
      </c>
      <c r="AA62" s="70">
        <f>IF(A62="是",MAX(0,(V62-Z62)*IF(T62="",'经营参数'!$D$26,T62)),"")</f>
        <v/>
      </c>
      <c r="AB62" s="70">
        <f>IF(A62="是",V62-Z62-AA62,"")</f>
        <v/>
      </c>
      <c r="AC62" s="70">
        <f>IF(A62="是",MAX(0,AB62*IF(U62="",'经营参数'!$D$27,U62)),"")</f>
        <v/>
      </c>
      <c r="AD62" s="70">
        <f>IF(A62="是",AB62-AC62,"")</f>
        <v/>
      </c>
      <c r="AE62" s="20" t="inlineStr">
        <is>
          <t>黄色格为空时，右侧公式使用经营参数中的基础值；启用后，游戏优先采用本行已计算的结果。</t>
        </is>
      </c>
    </row>
    <row r="63">
      <c r="A63" s="34" t="inlineStr">
        <is>
          <t>否</t>
        </is>
      </c>
      <c r="B63" s="20" t="inlineStr">
        <is>
          <t>2034-12</t>
        </is>
      </c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70">
        <f>IF(A63="是",IF(D63="",'经营参数'!$D$47/12,D63)*IF(E63="",'经营参数'!$D$44,E63)+IF(F63="",0,F63)*IF(G63="",'经营参数'!$D$45,G63)+IF(H63="",0,H63)*IF(I63="",'经营参数'!$D$46,I63),"")</f>
        <v/>
      </c>
      <c r="W63" s="70">
        <f>IF(A63="是",(IF(D63="",'经营参数'!$D$47/12,D63)+IF(F63="",0,F63)+IF(H63="",0,H63))*IF(J63="",'经营参数'!$D$20,J63),"")</f>
        <v/>
      </c>
      <c r="X63" s="70">
        <f>IF(A63="是",(IF(D63="",'经营参数'!$D$47/12,D63)+IF(F63="",0,F63)+IF(H63="",0,H63))*IF(K63="",'经营参数'!$D$22,K63)+IF(L63="",'经营参数'!$D$21/12,L63),"")</f>
        <v/>
      </c>
      <c r="Y63" s="70">
        <f>IF(A63="是",IF(M63="",(IF(D63="",'经营参数'!$D$47/12,D63)+IF(F63="",0,F63)+IF(H63="",0,H63))*'经营参数'!$D$51,M63)*IF(N63="",'经营参数'!$D$29,N63)+IF(O63="",(IF(D63="",'经营参数'!$D$47/12,D63)+IF(F63="",0,F63)+IF(H63="",0,H63))*'经营参数'!$D$52,O63)*IF(P63="",'经营参数'!$D$30,P63),"")</f>
        <v/>
      </c>
      <c r="Z63" s="70">
        <f>IF(A63="是",W63+X63+Y63+IF(Q63="",'经营参数'!$D$25/12,Q63)+IF(R63="",'经营参数'!$D$24/12,R63)+IF(S63="",0,S63),"")</f>
        <v/>
      </c>
      <c r="AA63" s="70">
        <f>IF(A63="是",MAX(0,(V63-Z63)*IF(T63="",'经营参数'!$D$26,T63)),"")</f>
        <v/>
      </c>
      <c r="AB63" s="70">
        <f>IF(A63="是",V63-Z63-AA63,"")</f>
        <v/>
      </c>
      <c r="AC63" s="70">
        <f>IF(A63="是",MAX(0,AB63*IF(U63="",'经营参数'!$D$27,U63)),"")</f>
        <v/>
      </c>
      <c r="AD63" s="70">
        <f>IF(A63="是",AB63-AC63,"")</f>
        <v/>
      </c>
      <c r="AE63" s="20" t="inlineStr">
        <is>
          <t>黄色格为空时，右侧公式使用经营参数中的基础值；启用后，游戏优先采用本行已计算的结果。</t>
        </is>
      </c>
    </row>
    <row r="64">
      <c r="A64" s="34" t="inlineStr">
        <is>
          <t>否</t>
        </is>
      </c>
      <c r="B64" s="20" t="inlineStr">
        <is>
          <t>2035-01</t>
        </is>
      </c>
      <c r="C64" s="63" t="n"/>
      <c r="D64" s="63" t="n"/>
      <c r="E64" s="63" t="n"/>
      <c r="F64" s="63" t="n"/>
      <c r="G64" s="63" t="n"/>
      <c r="H64" s="63" t="n"/>
      <c r="I64" s="63" t="n"/>
      <c r="J64" s="63" t="n"/>
      <c r="K64" s="63" t="n"/>
      <c r="L64" s="63" t="n"/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70">
        <f>IF(A64="是",IF(D64="",'经营参数'!$D$47/12,D64)*IF(E64="",'经营参数'!$D$44,E64)+IF(F64="",0,F64)*IF(G64="",'经营参数'!$D$45,G64)+IF(H64="",0,H64)*IF(I64="",'经营参数'!$D$46,I64),"")</f>
        <v/>
      </c>
      <c r="W64" s="70">
        <f>IF(A64="是",(IF(D64="",'经营参数'!$D$47/12,D64)+IF(F64="",0,F64)+IF(H64="",0,H64))*IF(J64="",'经营参数'!$D$20,J64),"")</f>
        <v/>
      </c>
      <c r="X64" s="70">
        <f>IF(A64="是",(IF(D64="",'经营参数'!$D$47/12,D64)+IF(F64="",0,F64)+IF(H64="",0,H64))*IF(K64="",'经营参数'!$D$22,K64)+IF(L64="",'经营参数'!$D$21/12,L64),"")</f>
        <v/>
      </c>
      <c r="Y64" s="70">
        <f>IF(A64="是",IF(M64="",(IF(D64="",'经营参数'!$D$47/12,D64)+IF(F64="",0,F64)+IF(H64="",0,H64))*'经营参数'!$D$51,M64)*IF(N64="",'经营参数'!$D$29,N64)+IF(O64="",(IF(D64="",'经营参数'!$D$47/12,D64)+IF(F64="",0,F64)+IF(H64="",0,H64))*'经营参数'!$D$52,O64)*IF(P64="",'经营参数'!$D$30,P64),"")</f>
        <v/>
      </c>
      <c r="Z64" s="70">
        <f>IF(A64="是",W64+X64+Y64+IF(Q64="",'经营参数'!$D$25/12,Q64)+IF(R64="",'经营参数'!$D$24/12,R64)+IF(S64="",0,S64),"")</f>
        <v/>
      </c>
      <c r="AA64" s="70">
        <f>IF(A64="是",MAX(0,(V64-Z64)*IF(T64="",'经营参数'!$D$26,T64)),"")</f>
        <v/>
      </c>
      <c r="AB64" s="70">
        <f>IF(A64="是",V64-Z64-AA64,"")</f>
        <v/>
      </c>
      <c r="AC64" s="70">
        <f>IF(A64="是",MAX(0,AB64*IF(U64="",'经营参数'!$D$27,U64)),"")</f>
        <v/>
      </c>
      <c r="AD64" s="70">
        <f>IF(A64="是",AB64-AC64,"")</f>
        <v/>
      </c>
      <c r="AE64" s="20" t="inlineStr">
        <is>
          <t>黄色格为空时，右侧公式使用经营参数中的基础值；启用后，游戏优先采用本行已计算的结果。</t>
        </is>
      </c>
    </row>
    <row r="65">
      <c r="A65" s="34" t="inlineStr">
        <is>
          <t>否</t>
        </is>
      </c>
      <c r="B65" s="20" t="inlineStr">
        <is>
          <t>2035-02</t>
        </is>
      </c>
      <c r="C65" s="63" t="n"/>
      <c r="D65" s="63" t="n"/>
      <c r="E65" s="63" t="n"/>
      <c r="F65" s="63" t="n"/>
      <c r="G65" s="63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70">
        <f>IF(A65="是",IF(D65="",'经营参数'!$D$47/12,D65)*IF(E65="",'经营参数'!$D$44,E65)+IF(F65="",0,F65)*IF(G65="",'经营参数'!$D$45,G65)+IF(H65="",0,H65)*IF(I65="",'经营参数'!$D$46,I65),"")</f>
        <v/>
      </c>
      <c r="W65" s="70">
        <f>IF(A65="是",(IF(D65="",'经营参数'!$D$47/12,D65)+IF(F65="",0,F65)+IF(H65="",0,H65))*IF(J65="",'经营参数'!$D$20,J65),"")</f>
        <v/>
      </c>
      <c r="X65" s="70">
        <f>IF(A65="是",(IF(D65="",'经营参数'!$D$47/12,D65)+IF(F65="",0,F65)+IF(H65="",0,H65))*IF(K65="",'经营参数'!$D$22,K65)+IF(L65="",'经营参数'!$D$21/12,L65),"")</f>
        <v/>
      </c>
      <c r="Y65" s="70">
        <f>IF(A65="是",IF(M65="",(IF(D65="",'经营参数'!$D$47/12,D65)+IF(F65="",0,F65)+IF(H65="",0,H65))*'经营参数'!$D$51,M65)*IF(N65="",'经营参数'!$D$29,N65)+IF(O65="",(IF(D65="",'经营参数'!$D$47/12,D65)+IF(F65="",0,F65)+IF(H65="",0,H65))*'经营参数'!$D$52,O65)*IF(P65="",'经营参数'!$D$30,P65),"")</f>
        <v/>
      </c>
      <c r="Z65" s="70">
        <f>IF(A65="是",W65+X65+Y65+IF(Q65="",'经营参数'!$D$25/12,Q65)+IF(R65="",'经营参数'!$D$24/12,R65)+IF(S65="",0,S65),"")</f>
        <v/>
      </c>
      <c r="AA65" s="70">
        <f>IF(A65="是",MAX(0,(V65-Z65)*IF(T65="",'经营参数'!$D$26,T65)),"")</f>
        <v/>
      </c>
      <c r="AB65" s="70">
        <f>IF(A65="是",V65-Z65-AA65,"")</f>
        <v/>
      </c>
      <c r="AC65" s="70">
        <f>IF(A65="是",MAX(0,AB65*IF(U65="",'经营参数'!$D$27,U65)),"")</f>
        <v/>
      </c>
      <c r="AD65" s="70">
        <f>IF(A65="是",AB65-AC65,"")</f>
        <v/>
      </c>
      <c r="AE65" s="20" t="inlineStr">
        <is>
          <t>黄色格为空时，右侧公式使用经营参数中的基础值；启用后，游戏优先采用本行已计算的结果。</t>
        </is>
      </c>
    </row>
    <row r="66">
      <c r="A66" s="34" t="inlineStr">
        <is>
          <t>否</t>
        </is>
      </c>
      <c r="B66" s="20" t="inlineStr">
        <is>
          <t>2035-03</t>
        </is>
      </c>
      <c r="C66" s="63" t="n"/>
      <c r="D66" s="63" t="n"/>
      <c r="E66" s="63" t="n"/>
      <c r="F66" s="63" t="n"/>
      <c r="G66" s="63" t="n"/>
      <c r="H66" s="63" t="n"/>
      <c r="I66" s="63" t="n"/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70">
        <f>IF(A66="是",IF(D66="",'经营参数'!$D$47/12,D66)*IF(E66="",'经营参数'!$D$44,E66)+IF(F66="",0,F66)*IF(G66="",'经营参数'!$D$45,G66)+IF(H66="",0,H66)*IF(I66="",'经营参数'!$D$46,I66),"")</f>
        <v/>
      </c>
      <c r="W66" s="70">
        <f>IF(A66="是",(IF(D66="",'经营参数'!$D$47/12,D66)+IF(F66="",0,F66)+IF(H66="",0,H66))*IF(J66="",'经营参数'!$D$20,J66),"")</f>
        <v/>
      </c>
      <c r="X66" s="70">
        <f>IF(A66="是",(IF(D66="",'经营参数'!$D$47/12,D66)+IF(F66="",0,F66)+IF(H66="",0,H66))*IF(K66="",'经营参数'!$D$22,K66)+IF(L66="",'经营参数'!$D$21/12,L66),"")</f>
        <v/>
      </c>
      <c r="Y66" s="70">
        <f>IF(A66="是",IF(M66="",(IF(D66="",'经营参数'!$D$47/12,D66)+IF(F66="",0,F66)+IF(H66="",0,H66))*'经营参数'!$D$51,M66)*IF(N66="",'经营参数'!$D$29,N66)+IF(O66="",(IF(D66="",'经营参数'!$D$47/12,D66)+IF(F66="",0,F66)+IF(H66="",0,H66))*'经营参数'!$D$52,O66)*IF(P66="",'经营参数'!$D$30,P66),"")</f>
        <v/>
      </c>
      <c r="Z66" s="70">
        <f>IF(A66="是",W66+X66+Y66+IF(Q66="",'经营参数'!$D$25/12,Q66)+IF(R66="",'经营参数'!$D$24/12,R66)+IF(S66="",0,S66),"")</f>
        <v/>
      </c>
      <c r="AA66" s="70">
        <f>IF(A66="是",MAX(0,(V66-Z66)*IF(T66="",'经营参数'!$D$26,T66)),"")</f>
        <v/>
      </c>
      <c r="AB66" s="70">
        <f>IF(A66="是",V66-Z66-AA66,"")</f>
        <v/>
      </c>
      <c r="AC66" s="70">
        <f>IF(A66="是",MAX(0,AB66*IF(U66="",'经营参数'!$D$27,U66)),"")</f>
        <v/>
      </c>
      <c r="AD66" s="70">
        <f>IF(A66="是",AB66-AC66,"")</f>
        <v/>
      </c>
      <c r="AE66" s="20" t="inlineStr">
        <is>
          <t>黄色格为空时，右侧公式使用经营参数中的基础值；启用后，游戏优先采用本行已计算的结果。</t>
        </is>
      </c>
    </row>
    <row r="67">
      <c r="A67" s="34" t="inlineStr">
        <is>
          <t>否</t>
        </is>
      </c>
      <c r="B67" s="20" t="inlineStr">
        <is>
          <t>2035-04</t>
        </is>
      </c>
      <c r="C67" s="63" t="n"/>
      <c r="D67" s="63" t="n"/>
      <c r="E67" s="63" t="n"/>
      <c r="F67" s="63" t="n"/>
      <c r="G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70">
        <f>IF(A67="是",IF(D67="",'经营参数'!$D$47/12,D67)*IF(E67="",'经营参数'!$D$44,E67)+IF(F67="",0,F67)*IF(G67="",'经营参数'!$D$45,G67)+IF(H67="",0,H67)*IF(I67="",'经营参数'!$D$46,I67),"")</f>
        <v/>
      </c>
      <c r="W67" s="70">
        <f>IF(A67="是",(IF(D67="",'经营参数'!$D$47/12,D67)+IF(F67="",0,F67)+IF(H67="",0,H67))*IF(J67="",'经营参数'!$D$20,J67),"")</f>
        <v/>
      </c>
      <c r="X67" s="70">
        <f>IF(A67="是",(IF(D67="",'经营参数'!$D$47/12,D67)+IF(F67="",0,F67)+IF(H67="",0,H67))*IF(K67="",'经营参数'!$D$22,K67)+IF(L67="",'经营参数'!$D$21/12,L67),"")</f>
        <v/>
      </c>
      <c r="Y67" s="70">
        <f>IF(A67="是",IF(M67="",(IF(D67="",'经营参数'!$D$47/12,D67)+IF(F67="",0,F67)+IF(H67="",0,H67))*'经营参数'!$D$51,M67)*IF(N67="",'经营参数'!$D$29,N67)+IF(O67="",(IF(D67="",'经营参数'!$D$47/12,D67)+IF(F67="",0,F67)+IF(H67="",0,H67))*'经营参数'!$D$52,O67)*IF(P67="",'经营参数'!$D$30,P67),"")</f>
        <v/>
      </c>
      <c r="Z67" s="70">
        <f>IF(A67="是",W67+X67+Y67+IF(Q67="",'经营参数'!$D$25/12,Q67)+IF(R67="",'经营参数'!$D$24/12,R67)+IF(S67="",0,S67),"")</f>
        <v/>
      </c>
      <c r="AA67" s="70">
        <f>IF(A67="是",MAX(0,(V67-Z67)*IF(T67="",'经营参数'!$D$26,T67)),"")</f>
        <v/>
      </c>
      <c r="AB67" s="70">
        <f>IF(A67="是",V67-Z67-AA67,"")</f>
        <v/>
      </c>
      <c r="AC67" s="70">
        <f>IF(A67="是",MAX(0,AB67*IF(U67="",'经营参数'!$D$27,U67)),"")</f>
        <v/>
      </c>
      <c r="AD67" s="70">
        <f>IF(A67="是",AB67-AC67,"")</f>
        <v/>
      </c>
      <c r="AE67" s="20" t="inlineStr">
        <is>
          <t>黄色格为空时，右侧公式使用经营参数中的基础值；启用后，游戏优先采用本行已计算的结果。</t>
        </is>
      </c>
    </row>
    <row r="68">
      <c r="A68" s="34" t="inlineStr">
        <is>
          <t>否</t>
        </is>
      </c>
      <c r="B68" s="20" t="inlineStr">
        <is>
          <t>2035-05</t>
        </is>
      </c>
      <c r="C68" s="63" t="n"/>
      <c r="D68" s="63" t="n"/>
      <c r="E68" s="63" t="n"/>
      <c r="F68" s="63" t="n"/>
      <c r="G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70">
        <f>IF(A68="是",IF(D68="",'经营参数'!$D$47/12,D68)*IF(E68="",'经营参数'!$D$44,E68)+IF(F68="",0,F68)*IF(G68="",'经营参数'!$D$45,G68)+IF(H68="",0,H68)*IF(I68="",'经营参数'!$D$46,I68),"")</f>
        <v/>
      </c>
      <c r="W68" s="70">
        <f>IF(A68="是",(IF(D68="",'经营参数'!$D$47/12,D68)+IF(F68="",0,F68)+IF(H68="",0,H68))*IF(J68="",'经营参数'!$D$20,J68),"")</f>
        <v/>
      </c>
      <c r="X68" s="70">
        <f>IF(A68="是",(IF(D68="",'经营参数'!$D$47/12,D68)+IF(F68="",0,F68)+IF(H68="",0,H68))*IF(K68="",'经营参数'!$D$22,K68)+IF(L68="",'经营参数'!$D$21/12,L68),"")</f>
        <v/>
      </c>
      <c r="Y68" s="70">
        <f>IF(A68="是",IF(M68="",(IF(D68="",'经营参数'!$D$47/12,D68)+IF(F68="",0,F68)+IF(H68="",0,H68))*'经营参数'!$D$51,M68)*IF(N68="",'经营参数'!$D$29,N68)+IF(O68="",(IF(D68="",'经营参数'!$D$47/12,D68)+IF(F68="",0,F68)+IF(H68="",0,H68))*'经营参数'!$D$52,O68)*IF(P68="",'经营参数'!$D$30,P68),"")</f>
        <v/>
      </c>
      <c r="Z68" s="70">
        <f>IF(A68="是",W68+X68+Y68+IF(Q68="",'经营参数'!$D$25/12,Q68)+IF(R68="",'经营参数'!$D$24/12,R68)+IF(S68="",0,S68),"")</f>
        <v/>
      </c>
      <c r="AA68" s="70">
        <f>IF(A68="是",MAX(0,(V68-Z68)*IF(T68="",'经营参数'!$D$26,T68)),"")</f>
        <v/>
      </c>
      <c r="AB68" s="70">
        <f>IF(A68="是",V68-Z68-AA68,"")</f>
        <v/>
      </c>
      <c r="AC68" s="70">
        <f>IF(A68="是",MAX(0,AB68*IF(U68="",'经营参数'!$D$27,U68)),"")</f>
        <v/>
      </c>
      <c r="AD68" s="70">
        <f>IF(A68="是",AB68-AC68,"")</f>
        <v/>
      </c>
      <c r="AE68" s="20" t="inlineStr">
        <is>
          <t>黄色格为空时，右侧公式使用经营参数中的基础值；启用后，游戏优先采用本行已计算的结果。</t>
        </is>
      </c>
    </row>
    <row r="69">
      <c r="A69" s="34" t="inlineStr">
        <is>
          <t>否</t>
        </is>
      </c>
      <c r="B69" s="20" t="inlineStr">
        <is>
          <t>2035-06</t>
        </is>
      </c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70">
        <f>IF(A69="是",IF(D69="",'经营参数'!$D$47/12,D69)*IF(E69="",'经营参数'!$D$44,E69)+IF(F69="",0,F69)*IF(G69="",'经营参数'!$D$45,G69)+IF(H69="",0,H69)*IF(I69="",'经营参数'!$D$46,I69),"")</f>
        <v/>
      </c>
      <c r="W69" s="70">
        <f>IF(A69="是",(IF(D69="",'经营参数'!$D$47/12,D69)+IF(F69="",0,F69)+IF(H69="",0,H69))*IF(J69="",'经营参数'!$D$20,J69),"")</f>
        <v/>
      </c>
      <c r="X69" s="70">
        <f>IF(A69="是",(IF(D69="",'经营参数'!$D$47/12,D69)+IF(F69="",0,F69)+IF(H69="",0,H69))*IF(K69="",'经营参数'!$D$22,K69)+IF(L69="",'经营参数'!$D$21/12,L69),"")</f>
        <v/>
      </c>
      <c r="Y69" s="70">
        <f>IF(A69="是",IF(M69="",(IF(D69="",'经营参数'!$D$47/12,D69)+IF(F69="",0,F69)+IF(H69="",0,H69))*'经营参数'!$D$51,M69)*IF(N69="",'经营参数'!$D$29,N69)+IF(O69="",(IF(D69="",'经营参数'!$D$47/12,D69)+IF(F69="",0,F69)+IF(H69="",0,H69))*'经营参数'!$D$52,O69)*IF(P69="",'经营参数'!$D$30,P69),"")</f>
        <v/>
      </c>
      <c r="Z69" s="70">
        <f>IF(A69="是",W69+X69+Y69+IF(Q69="",'经营参数'!$D$25/12,Q69)+IF(R69="",'经营参数'!$D$24/12,R69)+IF(S69="",0,S69),"")</f>
        <v/>
      </c>
      <c r="AA69" s="70">
        <f>IF(A69="是",MAX(0,(V69-Z69)*IF(T69="",'经营参数'!$D$26,T69)),"")</f>
        <v/>
      </c>
      <c r="AB69" s="70">
        <f>IF(A69="是",V69-Z69-AA69,"")</f>
        <v/>
      </c>
      <c r="AC69" s="70">
        <f>IF(A69="是",MAX(0,AB69*IF(U69="",'经营参数'!$D$27,U69)),"")</f>
        <v/>
      </c>
      <c r="AD69" s="70">
        <f>IF(A69="是",AB69-AC69,"")</f>
        <v/>
      </c>
      <c r="AE69" s="20" t="inlineStr">
        <is>
          <t>黄色格为空时，右侧公式使用经营参数中的基础值；启用后，游戏优先采用本行已计算的结果。</t>
        </is>
      </c>
    </row>
    <row r="70">
      <c r="A70" s="34" t="inlineStr">
        <is>
          <t>否</t>
        </is>
      </c>
      <c r="B70" s="20" t="inlineStr">
        <is>
          <t>2035-07</t>
        </is>
      </c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70">
        <f>IF(A70="是",IF(D70="",'经营参数'!$D$47/12,D70)*IF(E70="",'经营参数'!$D$44,E70)+IF(F70="",0,F70)*IF(G70="",'经营参数'!$D$45,G70)+IF(H70="",0,H70)*IF(I70="",'经营参数'!$D$46,I70),"")</f>
        <v/>
      </c>
      <c r="W70" s="70">
        <f>IF(A70="是",(IF(D70="",'经营参数'!$D$47/12,D70)+IF(F70="",0,F70)+IF(H70="",0,H70))*IF(J70="",'经营参数'!$D$20,J70),"")</f>
        <v/>
      </c>
      <c r="X70" s="70">
        <f>IF(A70="是",(IF(D70="",'经营参数'!$D$47/12,D70)+IF(F70="",0,F70)+IF(H70="",0,H70))*IF(K70="",'经营参数'!$D$22,K70)+IF(L70="",'经营参数'!$D$21/12,L70),"")</f>
        <v/>
      </c>
      <c r="Y70" s="70">
        <f>IF(A70="是",IF(M70="",(IF(D70="",'经营参数'!$D$47/12,D70)+IF(F70="",0,F70)+IF(H70="",0,H70))*'经营参数'!$D$51,M70)*IF(N70="",'经营参数'!$D$29,N70)+IF(O70="",(IF(D70="",'经营参数'!$D$47/12,D70)+IF(F70="",0,F70)+IF(H70="",0,H70))*'经营参数'!$D$52,O70)*IF(P70="",'经营参数'!$D$30,P70),"")</f>
        <v/>
      </c>
      <c r="Z70" s="70">
        <f>IF(A70="是",W70+X70+Y70+IF(Q70="",'经营参数'!$D$25/12,Q70)+IF(R70="",'经营参数'!$D$24/12,R70)+IF(S70="",0,S70),"")</f>
        <v/>
      </c>
      <c r="AA70" s="70">
        <f>IF(A70="是",MAX(0,(V70-Z70)*IF(T70="",'经营参数'!$D$26,T70)),"")</f>
        <v/>
      </c>
      <c r="AB70" s="70">
        <f>IF(A70="是",V70-Z70-AA70,"")</f>
        <v/>
      </c>
      <c r="AC70" s="70">
        <f>IF(A70="是",MAX(0,AB70*IF(U70="",'经营参数'!$D$27,U70)),"")</f>
        <v/>
      </c>
      <c r="AD70" s="70">
        <f>IF(A70="是",AB70-AC70,"")</f>
        <v/>
      </c>
      <c r="AE70" s="20" t="inlineStr">
        <is>
          <t>黄色格为空时，右侧公式使用经营参数中的基础值；启用后，游戏优先采用本行已计算的结果。</t>
        </is>
      </c>
    </row>
    <row r="71">
      <c r="A71" s="34" t="inlineStr">
        <is>
          <t>否</t>
        </is>
      </c>
      <c r="B71" s="20" t="inlineStr">
        <is>
          <t>2035-08</t>
        </is>
      </c>
      <c r="C71" s="63" t="n"/>
      <c r="D71" s="63" t="n"/>
      <c r="E71" s="63" t="n"/>
      <c r="F71" s="63" t="n"/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70">
        <f>IF(A71="是",IF(D71="",'经营参数'!$D$47/12,D71)*IF(E71="",'经营参数'!$D$44,E71)+IF(F71="",0,F71)*IF(G71="",'经营参数'!$D$45,G71)+IF(H71="",0,H71)*IF(I71="",'经营参数'!$D$46,I71),"")</f>
        <v/>
      </c>
      <c r="W71" s="70">
        <f>IF(A71="是",(IF(D71="",'经营参数'!$D$47/12,D71)+IF(F71="",0,F71)+IF(H71="",0,H71))*IF(J71="",'经营参数'!$D$20,J71),"")</f>
        <v/>
      </c>
      <c r="X71" s="70">
        <f>IF(A71="是",(IF(D71="",'经营参数'!$D$47/12,D71)+IF(F71="",0,F71)+IF(H71="",0,H71))*IF(K71="",'经营参数'!$D$22,K71)+IF(L71="",'经营参数'!$D$21/12,L71),"")</f>
        <v/>
      </c>
      <c r="Y71" s="70">
        <f>IF(A71="是",IF(M71="",(IF(D71="",'经营参数'!$D$47/12,D71)+IF(F71="",0,F71)+IF(H71="",0,H71))*'经营参数'!$D$51,M71)*IF(N71="",'经营参数'!$D$29,N71)+IF(O71="",(IF(D71="",'经营参数'!$D$47/12,D71)+IF(F71="",0,F71)+IF(H71="",0,H71))*'经营参数'!$D$52,O71)*IF(P71="",'经营参数'!$D$30,P71),"")</f>
        <v/>
      </c>
      <c r="Z71" s="70">
        <f>IF(A71="是",W71+X71+Y71+IF(Q71="",'经营参数'!$D$25/12,Q71)+IF(R71="",'经营参数'!$D$24/12,R71)+IF(S71="",0,S71),"")</f>
        <v/>
      </c>
      <c r="AA71" s="70">
        <f>IF(A71="是",MAX(0,(V71-Z71)*IF(T71="",'经营参数'!$D$26,T71)),"")</f>
        <v/>
      </c>
      <c r="AB71" s="70">
        <f>IF(A71="是",V71-Z71-AA71,"")</f>
        <v/>
      </c>
      <c r="AC71" s="70">
        <f>IF(A71="是",MAX(0,AB71*IF(U71="",'经营参数'!$D$27,U71)),"")</f>
        <v/>
      </c>
      <c r="AD71" s="70">
        <f>IF(A71="是",AB71-AC71,"")</f>
        <v/>
      </c>
      <c r="AE71" s="20" t="inlineStr">
        <is>
          <t>黄色格为空时，右侧公式使用经营参数中的基础值；启用后，游戏优先采用本行已计算的结果。</t>
        </is>
      </c>
    </row>
    <row r="72">
      <c r="A72" s="34" t="inlineStr">
        <is>
          <t>否</t>
        </is>
      </c>
      <c r="B72" s="20" t="inlineStr">
        <is>
          <t>2035-09</t>
        </is>
      </c>
      <c r="C72" s="63" t="n"/>
      <c r="D72" s="63" t="n"/>
      <c r="E72" s="63" t="n"/>
      <c r="F72" s="63" t="n"/>
      <c r="G72" s="63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70">
        <f>IF(A72="是",IF(D72="",'经营参数'!$D$47/12,D72)*IF(E72="",'经营参数'!$D$44,E72)+IF(F72="",0,F72)*IF(G72="",'经营参数'!$D$45,G72)+IF(H72="",0,H72)*IF(I72="",'经营参数'!$D$46,I72),"")</f>
        <v/>
      </c>
      <c r="W72" s="70">
        <f>IF(A72="是",(IF(D72="",'经营参数'!$D$47/12,D72)+IF(F72="",0,F72)+IF(H72="",0,H72))*IF(J72="",'经营参数'!$D$20,J72),"")</f>
        <v/>
      </c>
      <c r="X72" s="70">
        <f>IF(A72="是",(IF(D72="",'经营参数'!$D$47/12,D72)+IF(F72="",0,F72)+IF(H72="",0,H72))*IF(K72="",'经营参数'!$D$22,K72)+IF(L72="",'经营参数'!$D$21/12,L72),"")</f>
        <v/>
      </c>
      <c r="Y72" s="70">
        <f>IF(A72="是",IF(M72="",(IF(D72="",'经营参数'!$D$47/12,D72)+IF(F72="",0,F72)+IF(H72="",0,H72))*'经营参数'!$D$51,M72)*IF(N72="",'经营参数'!$D$29,N72)+IF(O72="",(IF(D72="",'经营参数'!$D$47/12,D72)+IF(F72="",0,F72)+IF(H72="",0,H72))*'经营参数'!$D$52,O72)*IF(P72="",'经营参数'!$D$30,P72),"")</f>
        <v/>
      </c>
      <c r="Z72" s="70">
        <f>IF(A72="是",W72+X72+Y72+IF(Q72="",'经营参数'!$D$25/12,Q72)+IF(R72="",'经营参数'!$D$24/12,R72)+IF(S72="",0,S72),"")</f>
        <v/>
      </c>
      <c r="AA72" s="70">
        <f>IF(A72="是",MAX(0,(V72-Z72)*IF(T72="",'经营参数'!$D$26,T72)),"")</f>
        <v/>
      </c>
      <c r="AB72" s="70">
        <f>IF(A72="是",V72-Z72-AA72,"")</f>
        <v/>
      </c>
      <c r="AC72" s="70">
        <f>IF(A72="是",MAX(0,AB72*IF(U72="",'经营参数'!$D$27,U72)),"")</f>
        <v/>
      </c>
      <c r="AD72" s="70">
        <f>IF(A72="是",AB72-AC72,"")</f>
        <v/>
      </c>
      <c r="AE72" s="20" t="inlineStr">
        <is>
          <t>黄色格为空时，右侧公式使用经营参数中的基础值；启用后，游戏优先采用本行已计算的结果。</t>
        </is>
      </c>
    </row>
    <row r="73">
      <c r="A73" s="34" t="inlineStr">
        <is>
          <t>否</t>
        </is>
      </c>
      <c r="B73" s="20" t="inlineStr">
        <is>
          <t>2035-10</t>
        </is>
      </c>
      <c r="C73" s="63" t="n"/>
      <c r="D73" s="63" t="n"/>
      <c r="E73" s="63" t="n"/>
      <c r="F73" s="63" t="n"/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70">
        <f>IF(A73="是",IF(D73="",'经营参数'!$D$47/12,D73)*IF(E73="",'经营参数'!$D$44,E73)+IF(F73="",0,F73)*IF(G73="",'经营参数'!$D$45,G73)+IF(H73="",0,H73)*IF(I73="",'经营参数'!$D$46,I73),"")</f>
        <v/>
      </c>
      <c r="W73" s="70">
        <f>IF(A73="是",(IF(D73="",'经营参数'!$D$47/12,D73)+IF(F73="",0,F73)+IF(H73="",0,H73))*IF(J73="",'经营参数'!$D$20,J73),"")</f>
        <v/>
      </c>
      <c r="X73" s="70">
        <f>IF(A73="是",(IF(D73="",'经营参数'!$D$47/12,D73)+IF(F73="",0,F73)+IF(H73="",0,H73))*IF(K73="",'经营参数'!$D$22,K73)+IF(L73="",'经营参数'!$D$21/12,L73),"")</f>
        <v/>
      </c>
      <c r="Y73" s="70">
        <f>IF(A73="是",IF(M73="",(IF(D73="",'经营参数'!$D$47/12,D73)+IF(F73="",0,F73)+IF(H73="",0,H73))*'经营参数'!$D$51,M73)*IF(N73="",'经营参数'!$D$29,N73)+IF(O73="",(IF(D73="",'经营参数'!$D$47/12,D73)+IF(F73="",0,F73)+IF(H73="",0,H73))*'经营参数'!$D$52,O73)*IF(P73="",'经营参数'!$D$30,P73),"")</f>
        <v/>
      </c>
      <c r="Z73" s="70">
        <f>IF(A73="是",W73+X73+Y73+IF(Q73="",'经营参数'!$D$25/12,Q73)+IF(R73="",'经营参数'!$D$24/12,R73)+IF(S73="",0,S73),"")</f>
        <v/>
      </c>
      <c r="AA73" s="70">
        <f>IF(A73="是",MAX(0,(V73-Z73)*IF(T73="",'经营参数'!$D$26,T73)),"")</f>
        <v/>
      </c>
      <c r="AB73" s="70">
        <f>IF(A73="是",V73-Z73-AA73,"")</f>
        <v/>
      </c>
      <c r="AC73" s="70">
        <f>IF(A73="是",MAX(0,AB73*IF(U73="",'经营参数'!$D$27,U73)),"")</f>
        <v/>
      </c>
      <c r="AD73" s="70">
        <f>IF(A73="是",AB73-AC73,"")</f>
        <v/>
      </c>
      <c r="AE73" s="20" t="inlineStr">
        <is>
          <t>黄色格为空时，右侧公式使用经营参数中的基础值；启用后，游戏优先采用本行已计算的结果。</t>
        </is>
      </c>
    </row>
    <row r="74">
      <c r="A74" s="34" t="inlineStr">
        <is>
          <t>否</t>
        </is>
      </c>
      <c r="B74" s="20" t="inlineStr">
        <is>
          <t>2035-11</t>
        </is>
      </c>
      <c r="C74" s="63" t="n"/>
      <c r="D74" s="63" t="n"/>
      <c r="E74" s="63" t="n"/>
      <c r="F74" s="63" t="n"/>
      <c r="G74" s="63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70">
        <f>IF(A74="是",IF(D74="",'经营参数'!$D$47/12,D74)*IF(E74="",'经营参数'!$D$44,E74)+IF(F74="",0,F74)*IF(G74="",'经营参数'!$D$45,G74)+IF(H74="",0,H74)*IF(I74="",'经营参数'!$D$46,I74),"")</f>
        <v/>
      </c>
      <c r="W74" s="70">
        <f>IF(A74="是",(IF(D74="",'经营参数'!$D$47/12,D74)+IF(F74="",0,F74)+IF(H74="",0,H74))*IF(J74="",'经营参数'!$D$20,J74),"")</f>
        <v/>
      </c>
      <c r="X74" s="70">
        <f>IF(A74="是",(IF(D74="",'经营参数'!$D$47/12,D74)+IF(F74="",0,F74)+IF(H74="",0,H74))*IF(K74="",'经营参数'!$D$22,K74)+IF(L74="",'经营参数'!$D$21/12,L74),"")</f>
        <v/>
      </c>
      <c r="Y74" s="70">
        <f>IF(A74="是",IF(M74="",(IF(D74="",'经营参数'!$D$47/12,D74)+IF(F74="",0,F74)+IF(H74="",0,H74))*'经营参数'!$D$51,M74)*IF(N74="",'经营参数'!$D$29,N74)+IF(O74="",(IF(D74="",'经营参数'!$D$47/12,D74)+IF(F74="",0,F74)+IF(H74="",0,H74))*'经营参数'!$D$52,O74)*IF(P74="",'经营参数'!$D$30,P74),"")</f>
        <v/>
      </c>
      <c r="Z74" s="70">
        <f>IF(A74="是",W74+X74+Y74+IF(Q74="",'经营参数'!$D$25/12,Q74)+IF(R74="",'经营参数'!$D$24/12,R74)+IF(S74="",0,S74),"")</f>
        <v/>
      </c>
      <c r="AA74" s="70">
        <f>IF(A74="是",MAX(0,(V74-Z74)*IF(T74="",'经营参数'!$D$26,T74)),"")</f>
        <v/>
      </c>
      <c r="AB74" s="70">
        <f>IF(A74="是",V74-Z74-AA74,"")</f>
        <v/>
      </c>
      <c r="AC74" s="70">
        <f>IF(A74="是",MAX(0,AB74*IF(U74="",'经营参数'!$D$27,U74)),"")</f>
        <v/>
      </c>
      <c r="AD74" s="70">
        <f>IF(A74="是",AB74-AC74,"")</f>
        <v/>
      </c>
      <c r="AE74" s="20" t="inlineStr">
        <is>
          <t>黄色格为空时，右侧公式使用经营参数中的基础值；启用后，游戏优先采用本行已计算的结果。</t>
        </is>
      </c>
    </row>
    <row r="75">
      <c r="A75" s="34" t="inlineStr">
        <is>
          <t>否</t>
        </is>
      </c>
      <c r="B75" s="20" t="inlineStr">
        <is>
          <t>2035-12</t>
        </is>
      </c>
      <c r="C75" s="63" t="n"/>
      <c r="D75" s="63" t="n"/>
      <c r="E75" s="63" t="n"/>
      <c r="F75" s="63" t="n"/>
      <c r="G75" s="63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70">
        <f>IF(A75="是",IF(D75="",'经营参数'!$D$47/12,D75)*IF(E75="",'经营参数'!$D$44,E75)+IF(F75="",0,F75)*IF(G75="",'经营参数'!$D$45,G75)+IF(H75="",0,H75)*IF(I75="",'经营参数'!$D$46,I75),"")</f>
        <v/>
      </c>
      <c r="W75" s="70">
        <f>IF(A75="是",(IF(D75="",'经营参数'!$D$47/12,D75)+IF(F75="",0,F75)+IF(H75="",0,H75))*IF(J75="",'经营参数'!$D$20,J75),"")</f>
        <v/>
      </c>
      <c r="X75" s="70">
        <f>IF(A75="是",(IF(D75="",'经营参数'!$D$47/12,D75)+IF(F75="",0,F75)+IF(H75="",0,H75))*IF(K75="",'经营参数'!$D$22,K75)+IF(L75="",'经营参数'!$D$21/12,L75),"")</f>
        <v/>
      </c>
      <c r="Y75" s="70">
        <f>IF(A75="是",IF(M75="",(IF(D75="",'经营参数'!$D$47/12,D75)+IF(F75="",0,F75)+IF(H75="",0,H75))*'经营参数'!$D$51,M75)*IF(N75="",'经营参数'!$D$29,N75)+IF(O75="",(IF(D75="",'经营参数'!$D$47/12,D75)+IF(F75="",0,F75)+IF(H75="",0,H75))*'经营参数'!$D$52,O75)*IF(P75="",'经营参数'!$D$30,P75),"")</f>
        <v/>
      </c>
      <c r="Z75" s="70">
        <f>IF(A75="是",W75+X75+Y75+IF(Q75="",'经营参数'!$D$25/12,Q75)+IF(R75="",'经营参数'!$D$24/12,R75)+IF(S75="",0,S75),"")</f>
        <v/>
      </c>
      <c r="AA75" s="70">
        <f>IF(A75="是",MAX(0,(V75-Z75)*IF(T75="",'经营参数'!$D$26,T75)),"")</f>
        <v/>
      </c>
      <c r="AB75" s="70">
        <f>IF(A75="是",V75-Z75-AA75,"")</f>
        <v/>
      </c>
      <c r="AC75" s="70">
        <f>IF(A75="是",MAX(0,AB75*IF(U75="",'经营参数'!$D$27,U75)),"")</f>
        <v/>
      </c>
      <c r="AD75" s="70">
        <f>IF(A75="是",AB75-AC75,"")</f>
        <v/>
      </c>
      <c r="AE75" s="20" t="inlineStr">
        <is>
          <t>黄色格为空时，右侧公式使用经营参数中的基础值；启用后，游戏优先采用本行已计算的结果。</t>
        </is>
      </c>
    </row>
    <row r="76">
      <c r="A76" s="34" t="inlineStr">
        <is>
          <t>否</t>
        </is>
      </c>
      <c r="B76" s="20" t="inlineStr">
        <is>
          <t>2036-01</t>
        </is>
      </c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70">
        <f>IF(A76="是",IF(D76="",'经营参数'!$D$47/12,D76)*IF(E76="",'经营参数'!$D$44,E76)+IF(F76="",0,F76)*IF(G76="",'经营参数'!$D$45,G76)+IF(H76="",0,H76)*IF(I76="",'经营参数'!$D$46,I76),"")</f>
        <v/>
      </c>
      <c r="W76" s="70">
        <f>IF(A76="是",(IF(D76="",'经营参数'!$D$47/12,D76)+IF(F76="",0,F76)+IF(H76="",0,H76))*IF(J76="",'经营参数'!$D$20,J76),"")</f>
        <v/>
      </c>
      <c r="X76" s="70">
        <f>IF(A76="是",(IF(D76="",'经营参数'!$D$47/12,D76)+IF(F76="",0,F76)+IF(H76="",0,H76))*IF(K76="",'经营参数'!$D$22,K76)+IF(L76="",'经营参数'!$D$21/12,L76),"")</f>
        <v/>
      </c>
      <c r="Y76" s="70">
        <f>IF(A76="是",IF(M76="",(IF(D76="",'经营参数'!$D$47/12,D76)+IF(F76="",0,F76)+IF(H76="",0,H76))*'经营参数'!$D$51,M76)*IF(N76="",'经营参数'!$D$29,N76)+IF(O76="",(IF(D76="",'经营参数'!$D$47/12,D76)+IF(F76="",0,F76)+IF(H76="",0,H76))*'经营参数'!$D$52,O76)*IF(P76="",'经营参数'!$D$30,P76),"")</f>
        <v/>
      </c>
      <c r="Z76" s="70">
        <f>IF(A76="是",W76+X76+Y76+IF(Q76="",'经营参数'!$D$25/12,Q76)+IF(R76="",'经营参数'!$D$24/12,R76)+IF(S76="",0,S76),"")</f>
        <v/>
      </c>
      <c r="AA76" s="70">
        <f>IF(A76="是",MAX(0,(V76-Z76)*IF(T76="",'经营参数'!$D$26,T76)),"")</f>
        <v/>
      </c>
      <c r="AB76" s="70">
        <f>IF(A76="是",V76-Z76-AA76,"")</f>
        <v/>
      </c>
      <c r="AC76" s="70">
        <f>IF(A76="是",MAX(0,AB76*IF(U76="",'经营参数'!$D$27,U76)),"")</f>
        <v/>
      </c>
      <c r="AD76" s="70">
        <f>IF(A76="是",AB76-AC76,"")</f>
        <v/>
      </c>
      <c r="AE76" s="20" t="inlineStr">
        <is>
          <t>黄色格为空时，右侧公式使用经营参数中的基础值；启用后，游戏优先采用本行已计算的结果。</t>
        </is>
      </c>
    </row>
    <row r="77">
      <c r="A77" s="34" t="inlineStr">
        <is>
          <t>否</t>
        </is>
      </c>
      <c r="B77" s="20" t="inlineStr">
        <is>
          <t>2036-02</t>
        </is>
      </c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70">
        <f>IF(A77="是",IF(D77="",'经营参数'!$D$47/12,D77)*IF(E77="",'经营参数'!$D$44,E77)+IF(F77="",0,F77)*IF(G77="",'经营参数'!$D$45,G77)+IF(H77="",0,H77)*IF(I77="",'经营参数'!$D$46,I77),"")</f>
        <v/>
      </c>
      <c r="W77" s="70">
        <f>IF(A77="是",(IF(D77="",'经营参数'!$D$47/12,D77)+IF(F77="",0,F77)+IF(H77="",0,H77))*IF(J77="",'经营参数'!$D$20,J77),"")</f>
        <v/>
      </c>
      <c r="X77" s="70">
        <f>IF(A77="是",(IF(D77="",'经营参数'!$D$47/12,D77)+IF(F77="",0,F77)+IF(H77="",0,H77))*IF(K77="",'经营参数'!$D$22,K77)+IF(L77="",'经营参数'!$D$21/12,L77),"")</f>
        <v/>
      </c>
      <c r="Y77" s="70">
        <f>IF(A77="是",IF(M77="",(IF(D77="",'经营参数'!$D$47/12,D77)+IF(F77="",0,F77)+IF(H77="",0,H77))*'经营参数'!$D$51,M77)*IF(N77="",'经营参数'!$D$29,N77)+IF(O77="",(IF(D77="",'经营参数'!$D$47/12,D77)+IF(F77="",0,F77)+IF(H77="",0,H77))*'经营参数'!$D$52,O77)*IF(P77="",'经营参数'!$D$30,P77),"")</f>
        <v/>
      </c>
      <c r="Z77" s="70">
        <f>IF(A77="是",W77+X77+Y77+IF(Q77="",'经营参数'!$D$25/12,Q77)+IF(R77="",'经营参数'!$D$24/12,R77)+IF(S77="",0,S77),"")</f>
        <v/>
      </c>
      <c r="AA77" s="70">
        <f>IF(A77="是",MAX(0,(V77-Z77)*IF(T77="",'经营参数'!$D$26,T77)),"")</f>
        <v/>
      </c>
      <c r="AB77" s="70">
        <f>IF(A77="是",V77-Z77-AA77,"")</f>
        <v/>
      </c>
      <c r="AC77" s="70">
        <f>IF(A77="是",MAX(0,AB77*IF(U77="",'经营参数'!$D$27,U77)),"")</f>
        <v/>
      </c>
      <c r="AD77" s="70">
        <f>IF(A77="是",AB77-AC77,"")</f>
        <v/>
      </c>
      <c r="AE77" s="20" t="inlineStr">
        <is>
          <t>黄色格为空时，右侧公式使用经营参数中的基础值；启用后，游戏优先采用本行已计算的结果。</t>
        </is>
      </c>
    </row>
    <row r="78">
      <c r="A78" s="34" t="inlineStr">
        <is>
          <t>否</t>
        </is>
      </c>
      <c r="B78" s="20" t="inlineStr">
        <is>
          <t>2036-03</t>
        </is>
      </c>
      <c r="C78" s="63" t="n"/>
      <c r="D78" s="63" t="n"/>
      <c r="E78" s="63" t="n"/>
      <c r="F78" s="63" t="n"/>
      <c r="G78" s="63" t="n"/>
      <c r="H78" s="63" t="n"/>
      <c r="I78" s="63" t="n"/>
      <c r="J78" s="63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70">
        <f>IF(A78="是",IF(D78="",'经营参数'!$D$47/12,D78)*IF(E78="",'经营参数'!$D$44,E78)+IF(F78="",0,F78)*IF(G78="",'经营参数'!$D$45,G78)+IF(H78="",0,H78)*IF(I78="",'经营参数'!$D$46,I78),"")</f>
        <v/>
      </c>
      <c r="W78" s="70">
        <f>IF(A78="是",(IF(D78="",'经营参数'!$D$47/12,D78)+IF(F78="",0,F78)+IF(H78="",0,H78))*IF(J78="",'经营参数'!$D$20,J78),"")</f>
        <v/>
      </c>
      <c r="X78" s="70">
        <f>IF(A78="是",(IF(D78="",'经营参数'!$D$47/12,D78)+IF(F78="",0,F78)+IF(H78="",0,H78))*IF(K78="",'经营参数'!$D$22,K78)+IF(L78="",'经营参数'!$D$21/12,L78),"")</f>
        <v/>
      </c>
      <c r="Y78" s="70">
        <f>IF(A78="是",IF(M78="",(IF(D78="",'经营参数'!$D$47/12,D78)+IF(F78="",0,F78)+IF(H78="",0,H78))*'经营参数'!$D$51,M78)*IF(N78="",'经营参数'!$D$29,N78)+IF(O78="",(IF(D78="",'经营参数'!$D$47/12,D78)+IF(F78="",0,F78)+IF(H78="",0,H78))*'经营参数'!$D$52,O78)*IF(P78="",'经营参数'!$D$30,P78),"")</f>
        <v/>
      </c>
      <c r="Z78" s="70">
        <f>IF(A78="是",W78+X78+Y78+IF(Q78="",'经营参数'!$D$25/12,Q78)+IF(R78="",'经营参数'!$D$24/12,R78)+IF(S78="",0,S78),"")</f>
        <v/>
      </c>
      <c r="AA78" s="70">
        <f>IF(A78="是",MAX(0,(V78-Z78)*IF(T78="",'经营参数'!$D$26,T78)),"")</f>
        <v/>
      </c>
      <c r="AB78" s="70">
        <f>IF(A78="是",V78-Z78-AA78,"")</f>
        <v/>
      </c>
      <c r="AC78" s="70">
        <f>IF(A78="是",MAX(0,AB78*IF(U78="",'经营参数'!$D$27,U78)),"")</f>
        <v/>
      </c>
      <c r="AD78" s="70">
        <f>IF(A78="是",AB78-AC78,"")</f>
        <v/>
      </c>
      <c r="AE78" s="20" t="inlineStr">
        <is>
          <t>黄色格为空时，右侧公式使用经营参数中的基础值；启用后，游戏优先采用本行已计算的结果。</t>
        </is>
      </c>
    </row>
    <row r="79">
      <c r="A79" s="34" t="inlineStr">
        <is>
          <t>否</t>
        </is>
      </c>
      <c r="B79" s="20" t="inlineStr">
        <is>
          <t>2036-04</t>
        </is>
      </c>
      <c r="C79" s="63" t="n"/>
      <c r="D79" s="63" t="n"/>
      <c r="E79" s="63" t="n"/>
      <c r="F79" s="63" t="n"/>
      <c r="G79" s="63" t="n"/>
      <c r="H79" s="63" t="n"/>
      <c r="I79" s="63" t="n"/>
      <c r="J79" s="63" t="n"/>
      <c r="K79" s="63" t="n"/>
      <c r="L79" s="63" t="n"/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70">
        <f>IF(A79="是",IF(D79="",'经营参数'!$D$47/12,D79)*IF(E79="",'经营参数'!$D$44,E79)+IF(F79="",0,F79)*IF(G79="",'经营参数'!$D$45,G79)+IF(H79="",0,H79)*IF(I79="",'经营参数'!$D$46,I79),"")</f>
        <v/>
      </c>
      <c r="W79" s="70">
        <f>IF(A79="是",(IF(D79="",'经营参数'!$D$47/12,D79)+IF(F79="",0,F79)+IF(H79="",0,H79))*IF(J79="",'经营参数'!$D$20,J79),"")</f>
        <v/>
      </c>
      <c r="X79" s="70">
        <f>IF(A79="是",(IF(D79="",'经营参数'!$D$47/12,D79)+IF(F79="",0,F79)+IF(H79="",0,H79))*IF(K79="",'经营参数'!$D$22,K79)+IF(L79="",'经营参数'!$D$21/12,L79),"")</f>
        <v/>
      </c>
      <c r="Y79" s="70">
        <f>IF(A79="是",IF(M79="",(IF(D79="",'经营参数'!$D$47/12,D79)+IF(F79="",0,F79)+IF(H79="",0,H79))*'经营参数'!$D$51,M79)*IF(N79="",'经营参数'!$D$29,N79)+IF(O79="",(IF(D79="",'经营参数'!$D$47/12,D79)+IF(F79="",0,F79)+IF(H79="",0,H79))*'经营参数'!$D$52,O79)*IF(P79="",'经营参数'!$D$30,P79),"")</f>
        <v/>
      </c>
      <c r="Z79" s="70">
        <f>IF(A79="是",W79+X79+Y79+IF(Q79="",'经营参数'!$D$25/12,Q79)+IF(R79="",'经营参数'!$D$24/12,R79)+IF(S79="",0,S79),"")</f>
        <v/>
      </c>
      <c r="AA79" s="70">
        <f>IF(A79="是",MAX(0,(V79-Z79)*IF(T79="",'经营参数'!$D$26,T79)),"")</f>
        <v/>
      </c>
      <c r="AB79" s="70">
        <f>IF(A79="是",V79-Z79-AA79,"")</f>
        <v/>
      </c>
      <c r="AC79" s="70">
        <f>IF(A79="是",MAX(0,AB79*IF(U79="",'经营参数'!$D$27,U79)),"")</f>
        <v/>
      </c>
      <c r="AD79" s="70">
        <f>IF(A79="是",AB79-AC79,"")</f>
        <v/>
      </c>
      <c r="AE79" s="20" t="inlineStr">
        <is>
          <t>黄色格为空时，右侧公式使用经营参数中的基础值；启用后，游戏优先采用本行已计算的结果。</t>
        </is>
      </c>
    </row>
    <row r="80">
      <c r="A80" s="34" t="inlineStr">
        <is>
          <t>否</t>
        </is>
      </c>
      <c r="B80" s="20" t="inlineStr">
        <is>
          <t>2036-05</t>
        </is>
      </c>
      <c r="C80" s="63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70">
        <f>IF(A80="是",IF(D80="",'经营参数'!$D$47/12,D80)*IF(E80="",'经营参数'!$D$44,E80)+IF(F80="",0,F80)*IF(G80="",'经营参数'!$D$45,G80)+IF(H80="",0,H80)*IF(I80="",'经营参数'!$D$46,I80),"")</f>
        <v/>
      </c>
      <c r="W80" s="70">
        <f>IF(A80="是",(IF(D80="",'经营参数'!$D$47/12,D80)+IF(F80="",0,F80)+IF(H80="",0,H80))*IF(J80="",'经营参数'!$D$20,J80),"")</f>
        <v/>
      </c>
      <c r="X80" s="70">
        <f>IF(A80="是",(IF(D80="",'经营参数'!$D$47/12,D80)+IF(F80="",0,F80)+IF(H80="",0,H80))*IF(K80="",'经营参数'!$D$22,K80)+IF(L80="",'经营参数'!$D$21/12,L80),"")</f>
        <v/>
      </c>
      <c r="Y80" s="70">
        <f>IF(A80="是",IF(M80="",(IF(D80="",'经营参数'!$D$47/12,D80)+IF(F80="",0,F80)+IF(H80="",0,H80))*'经营参数'!$D$51,M80)*IF(N80="",'经营参数'!$D$29,N80)+IF(O80="",(IF(D80="",'经营参数'!$D$47/12,D80)+IF(F80="",0,F80)+IF(H80="",0,H80))*'经营参数'!$D$52,O80)*IF(P80="",'经营参数'!$D$30,P80),"")</f>
        <v/>
      </c>
      <c r="Z80" s="70">
        <f>IF(A80="是",W80+X80+Y80+IF(Q80="",'经营参数'!$D$25/12,Q80)+IF(R80="",'经营参数'!$D$24/12,R80)+IF(S80="",0,S80),"")</f>
        <v/>
      </c>
      <c r="AA80" s="70">
        <f>IF(A80="是",MAX(0,(V80-Z80)*IF(T80="",'经营参数'!$D$26,T80)),"")</f>
        <v/>
      </c>
      <c r="AB80" s="70">
        <f>IF(A80="是",V80-Z80-AA80,"")</f>
        <v/>
      </c>
      <c r="AC80" s="70">
        <f>IF(A80="是",MAX(0,AB80*IF(U80="",'经营参数'!$D$27,U80)),"")</f>
        <v/>
      </c>
      <c r="AD80" s="70">
        <f>IF(A80="是",AB80-AC80,"")</f>
        <v/>
      </c>
      <c r="AE80" s="20" t="inlineStr">
        <is>
          <t>黄色格为空时，右侧公式使用经营参数中的基础值；启用后，游戏优先采用本行已计算的结果。</t>
        </is>
      </c>
    </row>
    <row r="81">
      <c r="A81" s="34" t="inlineStr">
        <is>
          <t>否</t>
        </is>
      </c>
      <c r="B81" s="20" t="inlineStr">
        <is>
          <t>2036-06</t>
        </is>
      </c>
      <c r="C81" s="63" t="n"/>
      <c r="D81" s="63" t="n"/>
      <c r="E81" s="63" t="n"/>
      <c r="F81" s="63" t="n"/>
      <c r="G81" s="63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70">
        <f>IF(A81="是",IF(D81="",'经营参数'!$D$47/12,D81)*IF(E81="",'经营参数'!$D$44,E81)+IF(F81="",0,F81)*IF(G81="",'经营参数'!$D$45,G81)+IF(H81="",0,H81)*IF(I81="",'经营参数'!$D$46,I81),"")</f>
        <v/>
      </c>
      <c r="W81" s="70">
        <f>IF(A81="是",(IF(D81="",'经营参数'!$D$47/12,D81)+IF(F81="",0,F81)+IF(H81="",0,H81))*IF(J81="",'经营参数'!$D$20,J81),"")</f>
        <v/>
      </c>
      <c r="X81" s="70">
        <f>IF(A81="是",(IF(D81="",'经营参数'!$D$47/12,D81)+IF(F81="",0,F81)+IF(H81="",0,H81))*IF(K81="",'经营参数'!$D$22,K81)+IF(L81="",'经营参数'!$D$21/12,L81),"")</f>
        <v/>
      </c>
      <c r="Y81" s="70">
        <f>IF(A81="是",IF(M81="",(IF(D81="",'经营参数'!$D$47/12,D81)+IF(F81="",0,F81)+IF(H81="",0,H81))*'经营参数'!$D$51,M81)*IF(N81="",'经营参数'!$D$29,N81)+IF(O81="",(IF(D81="",'经营参数'!$D$47/12,D81)+IF(F81="",0,F81)+IF(H81="",0,H81))*'经营参数'!$D$52,O81)*IF(P81="",'经营参数'!$D$30,P81),"")</f>
        <v/>
      </c>
      <c r="Z81" s="70">
        <f>IF(A81="是",W81+X81+Y81+IF(Q81="",'经营参数'!$D$25/12,Q81)+IF(R81="",'经营参数'!$D$24/12,R81)+IF(S81="",0,S81),"")</f>
        <v/>
      </c>
      <c r="AA81" s="70">
        <f>IF(A81="是",MAX(0,(V81-Z81)*IF(T81="",'经营参数'!$D$26,T81)),"")</f>
        <v/>
      </c>
      <c r="AB81" s="70">
        <f>IF(A81="是",V81-Z81-AA81,"")</f>
        <v/>
      </c>
      <c r="AC81" s="70">
        <f>IF(A81="是",MAX(0,AB81*IF(U81="",'经营参数'!$D$27,U81)),"")</f>
        <v/>
      </c>
      <c r="AD81" s="70">
        <f>IF(A81="是",AB81-AC81,"")</f>
        <v/>
      </c>
      <c r="AE81" s="20" t="inlineStr">
        <is>
          <t>黄色格为空时，右侧公式使用经营参数中的基础值；启用后，游戏优先采用本行已计算的结果。</t>
        </is>
      </c>
    </row>
    <row r="82">
      <c r="A82" s="34" t="inlineStr">
        <is>
          <t>否</t>
        </is>
      </c>
      <c r="B82" s="20" t="inlineStr">
        <is>
          <t>2036-07</t>
        </is>
      </c>
      <c r="C82" s="63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70">
        <f>IF(A82="是",IF(D82="",'经营参数'!$D$47/12,D82)*IF(E82="",'经营参数'!$D$44,E82)+IF(F82="",0,F82)*IF(G82="",'经营参数'!$D$45,G82)+IF(H82="",0,H82)*IF(I82="",'经营参数'!$D$46,I82),"")</f>
        <v/>
      </c>
      <c r="W82" s="70">
        <f>IF(A82="是",(IF(D82="",'经营参数'!$D$47/12,D82)+IF(F82="",0,F82)+IF(H82="",0,H82))*IF(J82="",'经营参数'!$D$20,J82),"")</f>
        <v/>
      </c>
      <c r="X82" s="70">
        <f>IF(A82="是",(IF(D82="",'经营参数'!$D$47/12,D82)+IF(F82="",0,F82)+IF(H82="",0,H82))*IF(K82="",'经营参数'!$D$22,K82)+IF(L82="",'经营参数'!$D$21/12,L82),"")</f>
        <v/>
      </c>
      <c r="Y82" s="70">
        <f>IF(A82="是",IF(M82="",(IF(D82="",'经营参数'!$D$47/12,D82)+IF(F82="",0,F82)+IF(H82="",0,H82))*'经营参数'!$D$51,M82)*IF(N82="",'经营参数'!$D$29,N82)+IF(O82="",(IF(D82="",'经营参数'!$D$47/12,D82)+IF(F82="",0,F82)+IF(H82="",0,H82))*'经营参数'!$D$52,O82)*IF(P82="",'经营参数'!$D$30,P82),"")</f>
        <v/>
      </c>
      <c r="Z82" s="70">
        <f>IF(A82="是",W82+X82+Y82+IF(Q82="",'经营参数'!$D$25/12,Q82)+IF(R82="",'经营参数'!$D$24/12,R82)+IF(S82="",0,S82),"")</f>
        <v/>
      </c>
      <c r="AA82" s="70">
        <f>IF(A82="是",MAX(0,(V82-Z82)*IF(T82="",'经营参数'!$D$26,T82)),"")</f>
        <v/>
      </c>
      <c r="AB82" s="70">
        <f>IF(A82="是",V82-Z82-AA82,"")</f>
        <v/>
      </c>
      <c r="AC82" s="70">
        <f>IF(A82="是",MAX(0,AB82*IF(U82="",'经营参数'!$D$27,U82)),"")</f>
        <v/>
      </c>
      <c r="AD82" s="70">
        <f>IF(A82="是",AB82-AC82,"")</f>
        <v/>
      </c>
      <c r="AE82" s="20" t="inlineStr">
        <is>
          <t>黄色格为空时，右侧公式使用经营参数中的基础值；启用后，游戏优先采用本行已计算的结果。</t>
        </is>
      </c>
    </row>
    <row r="83">
      <c r="A83" s="34" t="inlineStr">
        <is>
          <t>否</t>
        </is>
      </c>
      <c r="B83" s="20" t="inlineStr">
        <is>
          <t>2036-08</t>
        </is>
      </c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70">
        <f>IF(A83="是",IF(D83="",'经营参数'!$D$47/12,D83)*IF(E83="",'经营参数'!$D$44,E83)+IF(F83="",0,F83)*IF(G83="",'经营参数'!$D$45,G83)+IF(H83="",0,H83)*IF(I83="",'经营参数'!$D$46,I83),"")</f>
        <v/>
      </c>
      <c r="W83" s="70">
        <f>IF(A83="是",(IF(D83="",'经营参数'!$D$47/12,D83)+IF(F83="",0,F83)+IF(H83="",0,H83))*IF(J83="",'经营参数'!$D$20,J83),"")</f>
        <v/>
      </c>
      <c r="X83" s="70">
        <f>IF(A83="是",(IF(D83="",'经营参数'!$D$47/12,D83)+IF(F83="",0,F83)+IF(H83="",0,H83))*IF(K83="",'经营参数'!$D$22,K83)+IF(L83="",'经营参数'!$D$21/12,L83),"")</f>
        <v/>
      </c>
      <c r="Y83" s="70">
        <f>IF(A83="是",IF(M83="",(IF(D83="",'经营参数'!$D$47/12,D83)+IF(F83="",0,F83)+IF(H83="",0,H83))*'经营参数'!$D$51,M83)*IF(N83="",'经营参数'!$D$29,N83)+IF(O83="",(IF(D83="",'经营参数'!$D$47/12,D83)+IF(F83="",0,F83)+IF(H83="",0,H83))*'经营参数'!$D$52,O83)*IF(P83="",'经营参数'!$D$30,P83),"")</f>
        <v/>
      </c>
      <c r="Z83" s="70">
        <f>IF(A83="是",W83+X83+Y83+IF(Q83="",'经营参数'!$D$25/12,Q83)+IF(R83="",'经营参数'!$D$24/12,R83)+IF(S83="",0,S83),"")</f>
        <v/>
      </c>
      <c r="AA83" s="70">
        <f>IF(A83="是",MAX(0,(V83-Z83)*IF(T83="",'经营参数'!$D$26,T83)),"")</f>
        <v/>
      </c>
      <c r="AB83" s="70">
        <f>IF(A83="是",V83-Z83-AA83,"")</f>
        <v/>
      </c>
      <c r="AC83" s="70">
        <f>IF(A83="是",MAX(0,AB83*IF(U83="",'经营参数'!$D$27,U83)),"")</f>
        <v/>
      </c>
      <c r="AD83" s="70">
        <f>IF(A83="是",AB83-AC83,"")</f>
        <v/>
      </c>
      <c r="AE83" s="20" t="inlineStr">
        <is>
          <t>黄色格为空时，右侧公式使用经营参数中的基础值；启用后，游戏优先采用本行已计算的结果。</t>
        </is>
      </c>
    </row>
    <row r="84">
      <c r="A84" s="34" t="inlineStr">
        <is>
          <t>否</t>
        </is>
      </c>
      <c r="B84" s="20" t="inlineStr">
        <is>
          <t>2036-09</t>
        </is>
      </c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70">
        <f>IF(A84="是",IF(D84="",'经营参数'!$D$47/12,D84)*IF(E84="",'经营参数'!$D$44,E84)+IF(F84="",0,F84)*IF(G84="",'经营参数'!$D$45,G84)+IF(H84="",0,H84)*IF(I84="",'经营参数'!$D$46,I84),"")</f>
        <v/>
      </c>
      <c r="W84" s="70">
        <f>IF(A84="是",(IF(D84="",'经营参数'!$D$47/12,D84)+IF(F84="",0,F84)+IF(H84="",0,H84))*IF(J84="",'经营参数'!$D$20,J84),"")</f>
        <v/>
      </c>
      <c r="X84" s="70">
        <f>IF(A84="是",(IF(D84="",'经营参数'!$D$47/12,D84)+IF(F84="",0,F84)+IF(H84="",0,H84))*IF(K84="",'经营参数'!$D$22,K84)+IF(L84="",'经营参数'!$D$21/12,L84),"")</f>
        <v/>
      </c>
      <c r="Y84" s="70">
        <f>IF(A84="是",IF(M84="",(IF(D84="",'经营参数'!$D$47/12,D84)+IF(F84="",0,F84)+IF(H84="",0,H84))*'经营参数'!$D$51,M84)*IF(N84="",'经营参数'!$D$29,N84)+IF(O84="",(IF(D84="",'经营参数'!$D$47/12,D84)+IF(F84="",0,F84)+IF(H84="",0,H84))*'经营参数'!$D$52,O84)*IF(P84="",'经营参数'!$D$30,P84),"")</f>
        <v/>
      </c>
      <c r="Z84" s="70">
        <f>IF(A84="是",W84+X84+Y84+IF(Q84="",'经营参数'!$D$25/12,Q84)+IF(R84="",'经营参数'!$D$24/12,R84)+IF(S84="",0,S84),"")</f>
        <v/>
      </c>
      <c r="AA84" s="70">
        <f>IF(A84="是",MAX(0,(V84-Z84)*IF(T84="",'经营参数'!$D$26,T84)),"")</f>
        <v/>
      </c>
      <c r="AB84" s="70">
        <f>IF(A84="是",V84-Z84-AA84,"")</f>
        <v/>
      </c>
      <c r="AC84" s="70">
        <f>IF(A84="是",MAX(0,AB84*IF(U84="",'经营参数'!$D$27,U84)),"")</f>
        <v/>
      </c>
      <c r="AD84" s="70">
        <f>IF(A84="是",AB84-AC84,"")</f>
        <v/>
      </c>
      <c r="AE84" s="20" t="inlineStr">
        <is>
          <t>黄色格为空时，右侧公式使用经营参数中的基础值；启用后，游戏优先采用本行已计算的结果。</t>
        </is>
      </c>
    </row>
    <row r="85">
      <c r="A85" s="34" t="inlineStr">
        <is>
          <t>否</t>
        </is>
      </c>
      <c r="B85" s="20" t="inlineStr">
        <is>
          <t>2036-10</t>
        </is>
      </c>
      <c r="C85" s="63" t="n"/>
      <c r="D85" s="63" t="n"/>
      <c r="E85" s="63" t="n"/>
      <c r="F85" s="63" t="n"/>
      <c r="G85" s="63" t="n"/>
      <c r="H85" s="63" t="n"/>
      <c r="I85" s="63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70">
        <f>IF(A85="是",IF(D85="",'经营参数'!$D$47/12,D85)*IF(E85="",'经营参数'!$D$44,E85)+IF(F85="",0,F85)*IF(G85="",'经营参数'!$D$45,G85)+IF(H85="",0,H85)*IF(I85="",'经营参数'!$D$46,I85),"")</f>
        <v/>
      </c>
      <c r="W85" s="70">
        <f>IF(A85="是",(IF(D85="",'经营参数'!$D$47/12,D85)+IF(F85="",0,F85)+IF(H85="",0,H85))*IF(J85="",'经营参数'!$D$20,J85),"")</f>
        <v/>
      </c>
      <c r="X85" s="70">
        <f>IF(A85="是",(IF(D85="",'经营参数'!$D$47/12,D85)+IF(F85="",0,F85)+IF(H85="",0,H85))*IF(K85="",'经营参数'!$D$22,K85)+IF(L85="",'经营参数'!$D$21/12,L85),"")</f>
        <v/>
      </c>
      <c r="Y85" s="70">
        <f>IF(A85="是",IF(M85="",(IF(D85="",'经营参数'!$D$47/12,D85)+IF(F85="",0,F85)+IF(H85="",0,H85))*'经营参数'!$D$51,M85)*IF(N85="",'经营参数'!$D$29,N85)+IF(O85="",(IF(D85="",'经营参数'!$D$47/12,D85)+IF(F85="",0,F85)+IF(H85="",0,H85))*'经营参数'!$D$52,O85)*IF(P85="",'经营参数'!$D$30,P85),"")</f>
        <v/>
      </c>
      <c r="Z85" s="70">
        <f>IF(A85="是",W85+X85+Y85+IF(Q85="",'经营参数'!$D$25/12,Q85)+IF(R85="",'经营参数'!$D$24/12,R85)+IF(S85="",0,S85),"")</f>
        <v/>
      </c>
      <c r="AA85" s="70">
        <f>IF(A85="是",MAX(0,(V85-Z85)*IF(T85="",'经营参数'!$D$26,T85)),"")</f>
        <v/>
      </c>
      <c r="AB85" s="70">
        <f>IF(A85="是",V85-Z85-AA85,"")</f>
        <v/>
      </c>
      <c r="AC85" s="70">
        <f>IF(A85="是",MAX(0,AB85*IF(U85="",'经营参数'!$D$27,U85)),"")</f>
        <v/>
      </c>
      <c r="AD85" s="70">
        <f>IF(A85="是",AB85-AC85,"")</f>
        <v/>
      </c>
      <c r="AE85" s="20" t="inlineStr">
        <is>
          <t>黄色格为空时，右侧公式使用经营参数中的基础值；启用后，游戏优先采用本行已计算的结果。</t>
        </is>
      </c>
    </row>
    <row r="86">
      <c r="A86" s="34" t="inlineStr">
        <is>
          <t>否</t>
        </is>
      </c>
      <c r="B86" s="20" t="inlineStr">
        <is>
          <t>2036-11</t>
        </is>
      </c>
      <c r="C86" s="63" t="n"/>
      <c r="D86" s="63" t="n"/>
      <c r="E86" s="63" t="n"/>
      <c r="F86" s="63" t="n"/>
      <c r="G86" s="63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70">
        <f>IF(A86="是",IF(D86="",'经营参数'!$D$47/12,D86)*IF(E86="",'经营参数'!$D$44,E86)+IF(F86="",0,F86)*IF(G86="",'经营参数'!$D$45,G86)+IF(H86="",0,H86)*IF(I86="",'经营参数'!$D$46,I86),"")</f>
        <v/>
      </c>
      <c r="W86" s="70">
        <f>IF(A86="是",(IF(D86="",'经营参数'!$D$47/12,D86)+IF(F86="",0,F86)+IF(H86="",0,H86))*IF(J86="",'经营参数'!$D$20,J86),"")</f>
        <v/>
      </c>
      <c r="X86" s="70">
        <f>IF(A86="是",(IF(D86="",'经营参数'!$D$47/12,D86)+IF(F86="",0,F86)+IF(H86="",0,H86))*IF(K86="",'经营参数'!$D$22,K86)+IF(L86="",'经营参数'!$D$21/12,L86),"")</f>
        <v/>
      </c>
      <c r="Y86" s="70">
        <f>IF(A86="是",IF(M86="",(IF(D86="",'经营参数'!$D$47/12,D86)+IF(F86="",0,F86)+IF(H86="",0,H86))*'经营参数'!$D$51,M86)*IF(N86="",'经营参数'!$D$29,N86)+IF(O86="",(IF(D86="",'经营参数'!$D$47/12,D86)+IF(F86="",0,F86)+IF(H86="",0,H86))*'经营参数'!$D$52,O86)*IF(P86="",'经营参数'!$D$30,P86),"")</f>
        <v/>
      </c>
      <c r="Z86" s="70">
        <f>IF(A86="是",W86+X86+Y86+IF(Q86="",'经营参数'!$D$25/12,Q86)+IF(R86="",'经营参数'!$D$24/12,R86)+IF(S86="",0,S86),"")</f>
        <v/>
      </c>
      <c r="AA86" s="70">
        <f>IF(A86="是",MAX(0,(V86-Z86)*IF(T86="",'经营参数'!$D$26,T86)),"")</f>
        <v/>
      </c>
      <c r="AB86" s="70">
        <f>IF(A86="是",V86-Z86-AA86,"")</f>
        <v/>
      </c>
      <c r="AC86" s="70">
        <f>IF(A86="是",MAX(0,AB86*IF(U86="",'经营参数'!$D$27,U86)),"")</f>
        <v/>
      </c>
      <c r="AD86" s="70">
        <f>IF(A86="是",AB86-AC86,"")</f>
        <v/>
      </c>
      <c r="AE86" s="20" t="inlineStr">
        <is>
          <t>黄色格为空时，右侧公式使用经营参数中的基础值；启用后，游戏优先采用本行已计算的结果。</t>
        </is>
      </c>
    </row>
    <row r="87">
      <c r="A87" s="34" t="inlineStr">
        <is>
          <t>否</t>
        </is>
      </c>
      <c r="B87" s="20" t="inlineStr">
        <is>
          <t>2036-12</t>
        </is>
      </c>
      <c r="C87" s="63" t="n"/>
      <c r="D87" s="63" t="n"/>
      <c r="E87" s="63" t="n"/>
      <c r="F87" s="63" t="n"/>
      <c r="G87" s="63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70">
        <f>IF(A87="是",IF(D87="",'经营参数'!$D$47/12,D87)*IF(E87="",'经营参数'!$D$44,E87)+IF(F87="",0,F87)*IF(G87="",'经营参数'!$D$45,G87)+IF(H87="",0,H87)*IF(I87="",'经营参数'!$D$46,I87),"")</f>
        <v/>
      </c>
      <c r="W87" s="70">
        <f>IF(A87="是",(IF(D87="",'经营参数'!$D$47/12,D87)+IF(F87="",0,F87)+IF(H87="",0,H87))*IF(J87="",'经营参数'!$D$20,J87),"")</f>
        <v/>
      </c>
      <c r="X87" s="70">
        <f>IF(A87="是",(IF(D87="",'经营参数'!$D$47/12,D87)+IF(F87="",0,F87)+IF(H87="",0,H87))*IF(K87="",'经营参数'!$D$22,K87)+IF(L87="",'经营参数'!$D$21/12,L87),"")</f>
        <v/>
      </c>
      <c r="Y87" s="70">
        <f>IF(A87="是",IF(M87="",(IF(D87="",'经营参数'!$D$47/12,D87)+IF(F87="",0,F87)+IF(H87="",0,H87))*'经营参数'!$D$51,M87)*IF(N87="",'经营参数'!$D$29,N87)+IF(O87="",(IF(D87="",'经营参数'!$D$47/12,D87)+IF(F87="",0,F87)+IF(H87="",0,H87))*'经营参数'!$D$52,O87)*IF(P87="",'经营参数'!$D$30,P87),"")</f>
        <v/>
      </c>
      <c r="Z87" s="70">
        <f>IF(A87="是",W87+X87+Y87+IF(Q87="",'经营参数'!$D$25/12,Q87)+IF(R87="",'经营参数'!$D$24/12,R87)+IF(S87="",0,S87),"")</f>
        <v/>
      </c>
      <c r="AA87" s="70">
        <f>IF(A87="是",MAX(0,(V87-Z87)*IF(T87="",'经营参数'!$D$26,T87)),"")</f>
        <v/>
      </c>
      <c r="AB87" s="70">
        <f>IF(A87="是",V87-Z87-AA87,"")</f>
        <v/>
      </c>
      <c r="AC87" s="70">
        <f>IF(A87="是",MAX(0,AB87*IF(U87="",'经营参数'!$D$27,U87)),"")</f>
        <v/>
      </c>
      <c r="AD87" s="70">
        <f>IF(A87="是",AB87-AC87,"")</f>
        <v/>
      </c>
      <c r="AE87" s="20" t="inlineStr">
        <is>
          <t>黄色格为空时，右侧公式使用经营参数中的基础值；启用后，游戏优先采用本行已计算的结果。</t>
        </is>
      </c>
    </row>
    <row r="88">
      <c r="A88" s="34" t="inlineStr">
        <is>
          <t>否</t>
        </is>
      </c>
      <c r="B88" s="20" t="inlineStr">
        <is>
          <t>2037-01</t>
        </is>
      </c>
      <c r="C88" s="63" t="n"/>
      <c r="D88" s="63" t="n"/>
      <c r="E88" s="63" t="n"/>
      <c r="F88" s="63" t="n"/>
      <c r="G88" s="63" t="n"/>
      <c r="H88" s="63" t="n"/>
      <c r="I88" s="63" t="n"/>
      <c r="J88" s="63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70">
        <f>IF(A88="是",IF(D88="",'经营参数'!$D$47/12,D88)*IF(E88="",'经营参数'!$D$44,E88)+IF(F88="",0,F88)*IF(G88="",'经营参数'!$D$45,G88)+IF(H88="",0,H88)*IF(I88="",'经营参数'!$D$46,I88),"")</f>
        <v/>
      </c>
      <c r="W88" s="70">
        <f>IF(A88="是",(IF(D88="",'经营参数'!$D$47/12,D88)+IF(F88="",0,F88)+IF(H88="",0,H88))*IF(J88="",'经营参数'!$D$20,J88),"")</f>
        <v/>
      </c>
      <c r="X88" s="70">
        <f>IF(A88="是",(IF(D88="",'经营参数'!$D$47/12,D88)+IF(F88="",0,F88)+IF(H88="",0,H88))*IF(K88="",'经营参数'!$D$22,K88)+IF(L88="",'经营参数'!$D$21/12,L88),"")</f>
        <v/>
      </c>
      <c r="Y88" s="70">
        <f>IF(A88="是",IF(M88="",(IF(D88="",'经营参数'!$D$47/12,D88)+IF(F88="",0,F88)+IF(H88="",0,H88))*'经营参数'!$D$51,M88)*IF(N88="",'经营参数'!$D$29,N88)+IF(O88="",(IF(D88="",'经营参数'!$D$47/12,D88)+IF(F88="",0,F88)+IF(H88="",0,H88))*'经营参数'!$D$52,O88)*IF(P88="",'经营参数'!$D$30,P88),"")</f>
        <v/>
      </c>
      <c r="Z88" s="70">
        <f>IF(A88="是",W88+X88+Y88+IF(Q88="",'经营参数'!$D$25/12,Q88)+IF(R88="",'经营参数'!$D$24/12,R88)+IF(S88="",0,S88),"")</f>
        <v/>
      </c>
      <c r="AA88" s="70">
        <f>IF(A88="是",MAX(0,(V88-Z88)*IF(T88="",'经营参数'!$D$26,T88)),"")</f>
        <v/>
      </c>
      <c r="AB88" s="70">
        <f>IF(A88="是",V88-Z88-AA88,"")</f>
        <v/>
      </c>
      <c r="AC88" s="70">
        <f>IF(A88="是",MAX(0,AB88*IF(U88="",'经营参数'!$D$27,U88)),"")</f>
        <v/>
      </c>
      <c r="AD88" s="70">
        <f>IF(A88="是",AB88-AC88,"")</f>
        <v/>
      </c>
      <c r="AE88" s="20" t="inlineStr">
        <is>
          <t>黄色格为空时，右侧公式使用经营参数中的基础值；启用后，游戏优先采用本行已计算的结果。</t>
        </is>
      </c>
    </row>
    <row r="89">
      <c r="A89" s="34" t="inlineStr">
        <is>
          <t>否</t>
        </is>
      </c>
      <c r="B89" s="20" t="inlineStr">
        <is>
          <t>2037-02</t>
        </is>
      </c>
      <c r="C89" s="63" t="n"/>
      <c r="D89" s="63" t="n"/>
      <c r="E89" s="63" t="n"/>
      <c r="F89" s="63" t="n"/>
      <c r="G89" s="63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70">
        <f>IF(A89="是",IF(D89="",'经营参数'!$D$47/12,D89)*IF(E89="",'经营参数'!$D$44,E89)+IF(F89="",0,F89)*IF(G89="",'经营参数'!$D$45,G89)+IF(H89="",0,H89)*IF(I89="",'经营参数'!$D$46,I89),"")</f>
        <v/>
      </c>
      <c r="W89" s="70">
        <f>IF(A89="是",(IF(D89="",'经营参数'!$D$47/12,D89)+IF(F89="",0,F89)+IF(H89="",0,H89))*IF(J89="",'经营参数'!$D$20,J89),"")</f>
        <v/>
      </c>
      <c r="X89" s="70">
        <f>IF(A89="是",(IF(D89="",'经营参数'!$D$47/12,D89)+IF(F89="",0,F89)+IF(H89="",0,H89))*IF(K89="",'经营参数'!$D$22,K89)+IF(L89="",'经营参数'!$D$21/12,L89),"")</f>
        <v/>
      </c>
      <c r="Y89" s="70">
        <f>IF(A89="是",IF(M89="",(IF(D89="",'经营参数'!$D$47/12,D89)+IF(F89="",0,F89)+IF(H89="",0,H89))*'经营参数'!$D$51,M89)*IF(N89="",'经营参数'!$D$29,N89)+IF(O89="",(IF(D89="",'经营参数'!$D$47/12,D89)+IF(F89="",0,F89)+IF(H89="",0,H89))*'经营参数'!$D$52,O89)*IF(P89="",'经营参数'!$D$30,P89),"")</f>
        <v/>
      </c>
      <c r="Z89" s="70">
        <f>IF(A89="是",W89+X89+Y89+IF(Q89="",'经营参数'!$D$25/12,Q89)+IF(R89="",'经营参数'!$D$24/12,R89)+IF(S89="",0,S89),"")</f>
        <v/>
      </c>
      <c r="AA89" s="70">
        <f>IF(A89="是",MAX(0,(V89-Z89)*IF(T89="",'经营参数'!$D$26,T89)),"")</f>
        <v/>
      </c>
      <c r="AB89" s="70">
        <f>IF(A89="是",V89-Z89-AA89,"")</f>
        <v/>
      </c>
      <c r="AC89" s="70">
        <f>IF(A89="是",MAX(0,AB89*IF(U89="",'经营参数'!$D$27,U89)),"")</f>
        <v/>
      </c>
      <c r="AD89" s="70">
        <f>IF(A89="是",AB89-AC89,"")</f>
        <v/>
      </c>
      <c r="AE89" s="20" t="inlineStr">
        <is>
          <t>黄色格为空时，右侧公式使用经营参数中的基础值；启用后，游戏优先采用本行已计算的结果。</t>
        </is>
      </c>
    </row>
    <row r="90">
      <c r="A90" s="34" t="inlineStr">
        <is>
          <t>否</t>
        </is>
      </c>
      <c r="B90" s="20" t="inlineStr">
        <is>
          <t>2037-03</t>
        </is>
      </c>
      <c r="C90" s="63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70">
        <f>IF(A90="是",IF(D90="",'经营参数'!$D$47/12,D90)*IF(E90="",'经营参数'!$D$44,E90)+IF(F90="",0,F90)*IF(G90="",'经营参数'!$D$45,G90)+IF(H90="",0,H90)*IF(I90="",'经营参数'!$D$46,I90),"")</f>
        <v/>
      </c>
      <c r="W90" s="70">
        <f>IF(A90="是",(IF(D90="",'经营参数'!$D$47/12,D90)+IF(F90="",0,F90)+IF(H90="",0,H90))*IF(J90="",'经营参数'!$D$20,J90),"")</f>
        <v/>
      </c>
      <c r="X90" s="70">
        <f>IF(A90="是",(IF(D90="",'经营参数'!$D$47/12,D90)+IF(F90="",0,F90)+IF(H90="",0,H90))*IF(K90="",'经营参数'!$D$22,K90)+IF(L90="",'经营参数'!$D$21/12,L90),"")</f>
        <v/>
      </c>
      <c r="Y90" s="70">
        <f>IF(A90="是",IF(M90="",(IF(D90="",'经营参数'!$D$47/12,D90)+IF(F90="",0,F90)+IF(H90="",0,H90))*'经营参数'!$D$51,M90)*IF(N90="",'经营参数'!$D$29,N90)+IF(O90="",(IF(D90="",'经营参数'!$D$47/12,D90)+IF(F90="",0,F90)+IF(H90="",0,H90))*'经营参数'!$D$52,O90)*IF(P90="",'经营参数'!$D$30,P90),"")</f>
        <v/>
      </c>
      <c r="Z90" s="70">
        <f>IF(A90="是",W90+X90+Y90+IF(Q90="",'经营参数'!$D$25/12,Q90)+IF(R90="",'经营参数'!$D$24/12,R90)+IF(S90="",0,S90),"")</f>
        <v/>
      </c>
      <c r="AA90" s="70">
        <f>IF(A90="是",MAX(0,(V90-Z90)*IF(T90="",'经营参数'!$D$26,T90)),"")</f>
        <v/>
      </c>
      <c r="AB90" s="70">
        <f>IF(A90="是",V90-Z90-AA90,"")</f>
        <v/>
      </c>
      <c r="AC90" s="70">
        <f>IF(A90="是",MAX(0,AB90*IF(U90="",'经营参数'!$D$27,U90)),"")</f>
        <v/>
      </c>
      <c r="AD90" s="70">
        <f>IF(A90="是",AB90-AC90,"")</f>
        <v/>
      </c>
      <c r="AE90" s="20" t="inlineStr">
        <is>
          <t>黄色格为空时，右侧公式使用经营参数中的基础值；启用后，游戏优先采用本行已计算的结果。</t>
        </is>
      </c>
    </row>
    <row r="91">
      <c r="A91" s="34" t="inlineStr">
        <is>
          <t>否</t>
        </is>
      </c>
      <c r="B91" s="20" t="inlineStr">
        <is>
          <t>2037-04</t>
        </is>
      </c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70">
        <f>IF(A91="是",IF(D91="",'经营参数'!$D$47/12,D91)*IF(E91="",'经营参数'!$D$44,E91)+IF(F91="",0,F91)*IF(G91="",'经营参数'!$D$45,G91)+IF(H91="",0,H91)*IF(I91="",'经营参数'!$D$46,I91),"")</f>
        <v/>
      </c>
      <c r="W91" s="70">
        <f>IF(A91="是",(IF(D91="",'经营参数'!$D$47/12,D91)+IF(F91="",0,F91)+IF(H91="",0,H91))*IF(J91="",'经营参数'!$D$20,J91),"")</f>
        <v/>
      </c>
      <c r="X91" s="70">
        <f>IF(A91="是",(IF(D91="",'经营参数'!$D$47/12,D91)+IF(F91="",0,F91)+IF(H91="",0,H91))*IF(K91="",'经营参数'!$D$22,K91)+IF(L91="",'经营参数'!$D$21/12,L91),"")</f>
        <v/>
      </c>
      <c r="Y91" s="70">
        <f>IF(A91="是",IF(M91="",(IF(D91="",'经营参数'!$D$47/12,D91)+IF(F91="",0,F91)+IF(H91="",0,H91))*'经营参数'!$D$51,M91)*IF(N91="",'经营参数'!$D$29,N91)+IF(O91="",(IF(D91="",'经营参数'!$D$47/12,D91)+IF(F91="",0,F91)+IF(H91="",0,H91))*'经营参数'!$D$52,O91)*IF(P91="",'经营参数'!$D$30,P91),"")</f>
        <v/>
      </c>
      <c r="Z91" s="70">
        <f>IF(A91="是",W91+X91+Y91+IF(Q91="",'经营参数'!$D$25/12,Q91)+IF(R91="",'经营参数'!$D$24/12,R91)+IF(S91="",0,S91),"")</f>
        <v/>
      </c>
      <c r="AA91" s="70">
        <f>IF(A91="是",MAX(0,(V91-Z91)*IF(T91="",'经营参数'!$D$26,T91)),"")</f>
        <v/>
      </c>
      <c r="AB91" s="70">
        <f>IF(A91="是",V91-Z91-AA91,"")</f>
        <v/>
      </c>
      <c r="AC91" s="70">
        <f>IF(A91="是",MAX(0,AB91*IF(U91="",'经营参数'!$D$27,U91)),"")</f>
        <v/>
      </c>
      <c r="AD91" s="70">
        <f>IF(A91="是",AB91-AC91,"")</f>
        <v/>
      </c>
      <c r="AE91" s="20" t="inlineStr">
        <is>
          <t>黄色格为空时，右侧公式使用经营参数中的基础值；启用后，游戏优先采用本行已计算的结果。</t>
        </is>
      </c>
    </row>
    <row r="92">
      <c r="A92" s="34" t="inlineStr">
        <is>
          <t>否</t>
        </is>
      </c>
      <c r="B92" s="20" t="inlineStr">
        <is>
          <t>2037-05</t>
        </is>
      </c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70">
        <f>IF(A92="是",IF(D92="",'经营参数'!$D$47/12,D92)*IF(E92="",'经营参数'!$D$44,E92)+IF(F92="",0,F92)*IF(G92="",'经营参数'!$D$45,G92)+IF(H92="",0,H92)*IF(I92="",'经营参数'!$D$46,I92),"")</f>
        <v/>
      </c>
      <c r="W92" s="70">
        <f>IF(A92="是",(IF(D92="",'经营参数'!$D$47/12,D92)+IF(F92="",0,F92)+IF(H92="",0,H92))*IF(J92="",'经营参数'!$D$20,J92),"")</f>
        <v/>
      </c>
      <c r="X92" s="70">
        <f>IF(A92="是",(IF(D92="",'经营参数'!$D$47/12,D92)+IF(F92="",0,F92)+IF(H92="",0,H92))*IF(K92="",'经营参数'!$D$22,K92)+IF(L92="",'经营参数'!$D$21/12,L92),"")</f>
        <v/>
      </c>
      <c r="Y92" s="70">
        <f>IF(A92="是",IF(M92="",(IF(D92="",'经营参数'!$D$47/12,D92)+IF(F92="",0,F92)+IF(H92="",0,H92))*'经营参数'!$D$51,M92)*IF(N92="",'经营参数'!$D$29,N92)+IF(O92="",(IF(D92="",'经营参数'!$D$47/12,D92)+IF(F92="",0,F92)+IF(H92="",0,H92))*'经营参数'!$D$52,O92)*IF(P92="",'经营参数'!$D$30,P92),"")</f>
        <v/>
      </c>
      <c r="Z92" s="70">
        <f>IF(A92="是",W92+X92+Y92+IF(Q92="",'经营参数'!$D$25/12,Q92)+IF(R92="",'经营参数'!$D$24/12,R92)+IF(S92="",0,S92),"")</f>
        <v/>
      </c>
      <c r="AA92" s="70">
        <f>IF(A92="是",MAX(0,(V92-Z92)*IF(T92="",'经营参数'!$D$26,T92)),"")</f>
        <v/>
      </c>
      <c r="AB92" s="70">
        <f>IF(A92="是",V92-Z92-AA92,"")</f>
        <v/>
      </c>
      <c r="AC92" s="70">
        <f>IF(A92="是",MAX(0,AB92*IF(U92="",'经营参数'!$D$27,U92)),"")</f>
        <v/>
      </c>
      <c r="AD92" s="70">
        <f>IF(A92="是",AB92-AC92,"")</f>
        <v/>
      </c>
      <c r="AE92" s="20" t="inlineStr">
        <is>
          <t>黄色格为空时，右侧公式使用经营参数中的基础值；启用后，游戏优先采用本行已计算的结果。</t>
        </is>
      </c>
    </row>
    <row r="93">
      <c r="A93" s="34" t="inlineStr">
        <is>
          <t>否</t>
        </is>
      </c>
      <c r="B93" s="20" t="inlineStr">
        <is>
          <t>2037-06</t>
        </is>
      </c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70">
        <f>IF(A93="是",IF(D93="",'经营参数'!$D$47/12,D93)*IF(E93="",'经营参数'!$D$44,E93)+IF(F93="",0,F93)*IF(G93="",'经营参数'!$D$45,G93)+IF(H93="",0,H93)*IF(I93="",'经营参数'!$D$46,I93),"")</f>
        <v/>
      </c>
      <c r="W93" s="70">
        <f>IF(A93="是",(IF(D93="",'经营参数'!$D$47/12,D93)+IF(F93="",0,F93)+IF(H93="",0,H93))*IF(J93="",'经营参数'!$D$20,J93),"")</f>
        <v/>
      </c>
      <c r="X93" s="70">
        <f>IF(A93="是",(IF(D93="",'经营参数'!$D$47/12,D93)+IF(F93="",0,F93)+IF(H93="",0,H93))*IF(K93="",'经营参数'!$D$22,K93)+IF(L93="",'经营参数'!$D$21/12,L93),"")</f>
        <v/>
      </c>
      <c r="Y93" s="70">
        <f>IF(A93="是",IF(M93="",(IF(D93="",'经营参数'!$D$47/12,D93)+IF(F93="",0,F93)+IF(H93="",0,H93))*'经营参数'!$D$51,M93)*IF(N93="",'经营参数'!$D$29,N93)+IF(O93="",(IF(D93="",'经营参数'!$D$47/12,D93)+IF(F93="",0,F93)+IF(H93="",0,H93))*'经营参数'!$D$52,O93)*IF(P93="",'经营参数'!$D$30,P93),"")</f>
        <v/>
      </c>
      <c r="Z93" s="70">
        <f>IF(A93="是",W93+X93+Y93+IF(Q93="",'经营参数'!$D$25/12,Q93)+IF(R93="",'经营参数'!$D$24/12,R93)+IF(S93="",0,S93),"")</f>
        <v/>
      </c>
      <c r="AA93" s="70">
        <f>IF(A93="是",MAX(0,(V93-Z93)*IF(T93="",'经营参数'!$D$26,T93)),"")</f>
        <v/>
      </c>
      <c r="AB93" s="70">
        <f>IF(A93="是",V93-Z93-AA93,"")</f>
        <v/>
      </c>
      <c r="AC93" s="70">
        <f>IF(A93="是",MAX(0,AB93*IF(U93="",'经营参数'!$D$27,U93)),"")</f>
        <v/>
      </c>
      <c r="AD93" s="70">
        <f>IF(A93="是",AB93-AC93,"")</f>
        <v/>
      </c>
      <c r="AE93" s="20" t="inlineStr">
        <is>
          <t>黄色格为空时，右侧公式使用经营参数中的基础值；启用后，游戏优先采用本行已计算的结果。</t>
        </is>
      </c>
    </row>
    <row r="94">
      <c r="A94" s="34" t="inlineStr">
        <is>
          <t>否</t>
        </is>
      </c>
      <c r="B94" s="20" t="inlineStr">
        <is>
          <t>2037-07</t>
        </is>
      </c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70">
        <f>IF(A94="是",IF(D94="",'经营参数'!$D$47/12,D94)*IF(E94="",'经营参数'!$D$44,E94)+IF(F94="",0,F94)*IF(G94="",'经营参数'!$D$45,G94)+IF(H94="",0,H94)*IF(I94="",'经营参数'!$D$46,I94),"")</f>
        <v/>
      </c>
      <c r="W94" s="70">
        <f>IF(A94="是",(IF(D94="",'经营参数'!$D$47/12,D94)+IF(F94="",0,F94)+IF(H94="",0,H94))*IF(J94="",'经营参数'!$D$20,J94),"")</f>
        <v/>
      </c>
      <c r="X94" s="70">
        <f>IF(A94="是",(IF(D94="",'经营参数'!$D$47/12,D94)+IF(F94="",0,F94)+IF(H94="",0,H94))*IF(K94="",'经营参数'!$D$22,K94)+IF(L94="",'经营参数'!$D$21/12,L94),"")</f>
        <v/>
      </c>
      <c r="Y94" s="70">
        <f>IF(A94="是",IF(M94="",(IF(D94="",'经营参数'!$D$47/12,D94)+IF(F94="",0,F94)+IF(H94="",0,H94))*'经营参数'!$D$51,M94)*IF(N94="",'经营参数'!$D$29,N94)+IF(O94="",(IF(D94="",'经营参数'!$D$47/12,D94)+IF(F94="",0,F94)+IF(H94="",0,H94))*'经营参数'!$D$52,O94)*IF(P94="",'经营参数'!$D$30,P94),"")</f>
        <v/>
      </c>
      <c r="Z94" s="70">
        <f>IF(A94="是",W94+X94+Y94+IF(Q94="",'经营参数'!$D$25/12,Q94)+IF(R94="",'经营参数'!$D$24/12,R94)+IF(S94="",0,S94),"")</f>
        <v/>
      </c>
      <c r="AA94" s="70">
        <f>IF(A94="是",MAX(0,(V94-Z94)*IF(T94="",'经营参数'!$D$26,T94)),"")</f>
        <v/>
      </c>
      <c r="AB94" s="70">
        <f>IF(A94="是",V94-Z94-AA94,"")</f>
        <v/>
      </c>
      <c r="AC94" s="70">
        <f>IF(A94="是",MAX(0,AB94*IF(U94="",'经营参数'!$D$27,U94)),"")</f>
        <v/>
      </c>
      <c r="AD94" s="70">
        <f>IF(A94="是",AB94-AC94,"")</f>
        <v/>
      </c>
      <c r="AE94" s="20" t="inlineStr">
        <is>
          <t>黄色格为空时，右侧公式使用经营参数中的基础值；启用后，游戏优先采用本行已计算的结果。</t>
        </is>
      </c>
    </row>
    <row r="95">
      <c r="A95" s="34" t="inlineStr">
        <is>
          <t>否</t>
        </is>
      </c>
      <c r="B95" s="20" t="inlineStr">
        <is>
          <t>2037-08</t>
        </is>
      </c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70">
        <f>IF(A95="是",IF(D95="",'经营参数'!$D$47/12,D95)*IF(E95="",'经营参数'!$D$44,E95)+IF(F95="",0,F95)*IF(G95="",'经营参数'!$D$45,G95)+IF(H95="",0,H95)*IF(I95="",'经营参数'!$D$46,I95),"")</f>
        <v/>
      </c>
      <c r="W95" s="70">
        <f>IF(A95="是",(IF(D95="",'经营参数'!$D$47/12,D95)+IF(F95="",0,F95)+IF(H95="",0,H95))*IF(J95="",'经营参数'!$D$20,J95),"")</f>
        <v/>
      </c>
      <c r="X95" s="70">
        <f>IF(A95="是",(IF(D95="",'经营参数'!$D$47/12,D95)+IF(F95="",0,F95)+IF(H95="",0,H95))*IF(K95="",'经营参数'!$D$22,K95)+IF(L95="",'经营参数'!$D$21/12,L95),"")</f>
        <v/>
      </c>
      <c r="Y95" s="70">
        <f>IF(A95="是",IF(M95="",(IF(D95="",'经营参数'!$D$47/12,D95)+IF(F95="",0,F95)+IF(H95="",0,H95))*'经营参数'!$D$51,M95)*IF(N95="",'经营参数'!$D$29,N95)+IF(O95="",(IF(D95="",'经营参数'!$D$47/12,D95)+IF(F95="",0,F95)+IF(H95="",0,H95))*'经营参数'!$D$52,O95)*IF(P95="",'经营参数'!$D$30,P95),"")</f>
        <v/>
      </c>
      <c r="Z95" s="70">
        <f>IF(A95="是",W95+X95+Y95+IF(Q95="",'经营参数'!$D$25/12,Q95)+IF(R95="",'经营参数'!$D$24/12,R95)+IF(S95="",0,S95),"")</f>
        <v/>
      </c>
      <c r="AA95" s="70">
        <f>IF(A95="是",MAX(0,(V95-Z95)*IF(T95="",'经营参数'!$D$26,T95)),"")</f>
        <v/>
      </c>
      <c r="AB95" s="70">
        <f>IF(A95="是",V95-Z95-AA95,"")</f>
        <v/>
      </c>
      <c r="AC95" s="70">
        <f>IF(A95="是",MAX(0,AB95*IF(U95="",'经营参数'!$D$27,U95)),"")</f>
        <v/>
      </c>
      <c r="AD95" s="70">
        <f>IF(A95="是",AB95-AC95,"")</f>
        <v/>
      </c>
      <c r="AE95" s="20" t="inlineStr">
        <is>
          <t>黄色格为空时，右侧公式使用经营参数中的基础值；启用后，游戏优先采用本行已计算的结果。</t>
        </is>
      </c>
    </row>
    <row r="96">
      <c r="A96" s="34" t="inlineStr">
        <is>
          <t>否</t>
        </is>
      </c>
      <c r="B96" s="20" t="inlineStr">
        <is>
          <t>2037-09</t>
        </is>
      </c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70">
        <f>IF(A96="是",IF(D96="",'经营参数'!$D$47/12,D96)*IF(E96="",'经营参数'!$D$44,E96)+IF(F96="",0,F96)*IF(G96="",'经营参数'!$D$45,G96)+IF(H96="",0,H96)*IF(I96="",'经营参数'!$D$46,I96),"")</f>
        <v/>
      </c>
      <c r="W96" s="70">
        <f>IF(A96="是",(IF(D96="",'经营参数'!$D$47/12,D96)+IF(F96="",0,F96)+IF(H96="",0,H96))*IF(J96="",'经营参数'!$D$20,J96),"")</f>
        <v/>
      </c>
      <c r="X96" s="70">
        <f>IF(A96="是",(IF(D96="",'经营参数'!$D$47/12,D96)+IF(F96="",0,F96)+IF(H96="",0,H96))*IF(K96="",'经营参数'!$D$22,K96)+IF(L96="",'经营参数'!$D$21/12,L96),"")</f>
        <v/>
      </c>
      <c r="Y96" s="70">
        <f>IF(A96="是",IF(M96="",(IF(D96="",'经营参数'!$D$47/12,D96)+IF(F96="",0,F96)+IF(H96="",0,H96))*'经营参数'!$D$51,M96)*IF(N96="",'经营参数'!$D$29,N96)+IF(O96="",(IF(D96="",'经营参数'!$D$47/12,D96)+IF(F96="",0,F96)+IF(H96="",0,H96))*'经营参数'!$D$52,O96)*IF(P96="",'经营参数'!$D$30,P96),"")</f>
        <v/>
      </c>
      <c r="Z96" s="70">
        <f>IF(A96="是",W96+X96+Y96+IF(Q96="",'经营参数'!$D$25/12,Q96)+IF(R96="",'经营参数'!$D$24/12,R96)+IF(S96="",0,S96),"")</f>
        <v/>
      </c>
      <c r="AA96" s="70">
        <f>IF(A96="是",MAX(0,(V96-Z96)*IF(T96="",'经营参数'!$D$26,T96)),"")</f>
        <v/>
      </c>
      <c r="AB96" s="70">
        <f>IF(A96="是",V96-Z96-AA96,"")</f>
        <v/>
      </c>
      <c r="AC96" s="70">
        <f>IF(A96="是",MAX(0,AB96*IF(U96="",'经营参数'!$D$27,U96)),"")</f>
        <v/>
      </c>
      <c r="AD96" s="70">
        <f>IF(A96="是",AB96-AC96,"")</f>
        <v/>
      </c>
      <c r="AE96" s="20" t="inlineStr">
        <is>
          <t>黄色格为空时，右侧公式使用经营参数中的基础值；启用后，游戏优先采用本行已计算的结果。</t>
        </is>
      </c>
    </row>
    <row r="97">
      <c r="A97" s="34" t="inlineStr">
        <is>
          <t>否</t>
        </is>
      </c>
      <c r="B97" s="20" t="inlineStr">
        <is>
          <t>2037-10</t>
        </is>
      </c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70">
        <f>IF(A97="是",IF(D97="",'经营参数'!$D$47/12,D97)*IF(E97="",'经营参数'!$D$44,E97)+IF(F97="",0,F97)*IF(G97="",'经营参数'!$D$45,G97)+IF(H97="",0,H97)*IF(I97="",'经营参数'!$D$46,I97),"")</f>
        <v/>
      </c>
      <c r="W97" s="70">
        <f>IF(A97="是",(IF(D97="",'经营参数'!$D$47/12,D97)+IF(F97="",0,F97)+IF(H97="",0,H97))*IF(J97="",'经营参数'!$D$20,J97),"")</f>
        <v/>
      </c>
      <c r="X97" s="70">
        <f>IF(A97="是",(IF(D97="",'经营参数'!$D$47/12,D97)+IF(F97="",0,F97)+IF(H97="",0,H97))*IF(K97="",'经营参数'!$D$22,K97)+IF(L97="",'经营参数'!$D$21/12,L97),"")</f>
        <v/>
      </c>
      <c r="Y97" s="70">
        <f>IF(A97="是",IF(M97="",(IF(D97="",'经营参数'!$D$47/12,D97)+IF(F97="",0,F97)+IF(H97="",0,H97))*'经营参数'!$D$51,M97)*IF(N97="",'经营参数'!$D$29,N97)+IF(O97="",(IF(D97="",'经营参数'!$D$47/12,D97)+IF(F97="",0,F97)+IF(H97="",0,H97))*'经营参数'!$D$52,O97)*IF(P97="",'经营参数'!$D$30,P97),"")</f>
        <v/>
      </c>
      <c r="Z97" s="70">
        <f>IF(A97="是",W97+X97+Y97+IF(Q97="",'经营参数'!$D$25/12,Q97)+IF(R97="",'经营参数'!$D$24/12,R97)+IF(S97="",0,S97),"")</f>
        <v/>
      </c>
      <c r="AA97" s="70">
        <f>IF(A97="是",MAX(0,(V97-Z97)*IF(T97="",'经营参数'!$D$26,T97)),"")</f>
        <v/>
      </c>
      <c r="AB97" s="70">
        <f>IF(A97="是",V97-Z97-AA97,"")</f>
        <v/>
      </c>
      <c r="AC97" s="70">
        <f>IF(A97="是",MAX(0,AB97*IF(U97="",'经营参数'!$D$27,U97)),"")</f>
        <v/>
      </c>
      <c r="AD97" s="70">
        <f>IF(A97="是",AB97-AC97,"")</f>
        <v/>
      </c>
      <c r="AE97" s="20" t="inlineStr">
        <is>
          <t>黄色格为空时，右侧公式使用经营参数中的基础值；启用后，游戏优先采用本行已计算的结果。</t>
        </is>
      </c>
    </row>
    <row r="98">
      <c r="A98" s="34" t="inlineStr">
        <is>
          <t>否</t>
        </is>
      </c>
      <c r="B98" s="20" t="inlineStr">
        <is>
          <t>2037-11</t>
        </is>
      </c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70">
        <f>IF(A98="是",IF(D98="",'经营参数'!$D$47/12,D98)*IF(E98="",'经营参数'!$D$44,E98)+IF(F98="",0,F98)*IF(G98="",'经营参数'!$D$45,G98)+IF(H98="",0,H98)*IF(I98="",'经营参数'!$D$46,I98),"")</f>
        <v/>
      </c>
      <c r="W98" s="70">
        <f>IF(A98="是",(IF(D98="",'经营参数'!$D$47/12,D98)+IF(F98="",0,F98)+IF(H98="",0,H98))*IF(J98="",'经营参数'!$D$20,J98),"")</f>
        <v/>
      </c>
      <c r="X98" s="70">
        <f>IF(A98="是",(IF(D98="",'经营参数'!$D$47/12,D98)+IF(F98="",0,F98)+IF(H98="",0,H98))*IF(K98="",'经营参数'!$D$22,K98)+IF(L98="",'经营参数'!$D$21/12,L98),"")</f>
        <v/>
      </c>
      <c r="Y98" s="70">
        <f>IF(A98="是",IF(M98="",(IF(D98="",'经营参数'!$D$47/12,D98)+IF(F98="",0,F98)+IF(H98="",0,H98))*'经营参数'!$D$51,M98)*IF(N98="",'经营参数'!$D$29,N98)+IF(O98="",(IF(D98="",'经营参数'!$D$47/12,D98)+IF(F98="",0,F98)+IF(H98="",0,H98))*'经营参数'!$D$52,O98)*IF(P98="",'经营参数'!$D$30,P98),"")</f>
        <v/>
      </c>
      <c r="Z98" s="70">
        <f>IF(A98="是",W98+X98+Y98+IF(Q98="",'经营参数'!$D$25/12,Q98)+IF(R98="",'经营参数'!$D$24/12,R98)+IF(S98="",0,S98),"")</f>
        <v/>
      </c>
      <c r="AA98" s="70">
        <f>IF(A98="是",MAX(0,(V98-Z98)*IF(T98="",'经营参数'!$D$26,T98)),"")</f>
        <v/>
      </c>
      <c r="AB98" s="70">
        <f>IF(A98="是",V98-Z98-AA98,"")</f>
        <v/>
      </c>
      <c r="AC98" s="70">
        <f>IF(A98="是",MAX(0,AB98*IF(U98="",'经营参数'!$D$27,U98)),"")</f>
        <v/>
      </c>
      <c r="AD98" s="70">
        <f>IF(A98="是",AB98-AC98,"")</f>
        <v/>
      </c>
      <c r="AE98" s="20" t="inlineStr">
        <is>
          <t>黄色格为空时，右侧公式使用经营参数中的基础值；启用后，游戏优先采用本行已计算的结果。</t>
        </is>
      </c>
    </row>
    <row r="99">
      <c r="A99" s="34" t="inlineStr">
        <is>
          <t>否</t>
        </is>
      </c>
      <c r="B99" s="20" t="inlineStr">
        <is>
          <t>2037-12</t>
        </is>
      </c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70">
        <f>IF(A99="是",IF(D99="",'经营参数'!$D$47/12,D99)*IF(E99="",'经营参数'!$D$44,E99)+IF(F99="",0,F99)*IF(G99="",'经营参数'!$D$45,G99)+IF(H99="",0,H99)*IF(I99="",'经营参数'!$D$46,I99),"")</f>
        <v/>
      </c>
      <c r="W99" s="70">
        <f>IF(A99="是",(IF(D99="",'经营参数'!$D$47/12,D99)+IF(F99="",0,F99)+IF(H99="",0,H99))*IF(J99="",'经营参数'!$D$20,J99),"")</f>
        <v/>
      </c>
      <c r="X99" s="70">
        <f>IF(A99="是",(IF(D99="",'经营参数'!$D$47/12,D99)+IF(F99="",0,F99)+IF(H99="",0,H99))*IF(K99="",'经营参数'!$D$22,K99)+IF(L99="",'经营参数'!$D$21/12,L99),"")</f>
        <v/>
      </c>
      <c r="Y99" s="70">
        <f>IF(A99="是",IF(M99="",(IF(D99="",'经营参数'!$D$47/12,D99)+IF(F99="",0,F99)+IF(H99="",0,H99))*'经营参数'!$D$51,M99)*IF(N99="",'经营参数'!$D$29,N99)+IF(O99="",(IF(D99="",'经营参数'!$D$47/12,D99)+IF(F99="",0,F99)+IF(H99="",0,H99))*'经营参数'!$D$52,O99)*IF(P99="",'经营参数'!$D$30,P99),"")</f>
        <v/>
      </c>
      <c r="Z99" s="70">
        <f>IF(A99="是",W99+X99+Y99+IF(Q99="",'经营参数'!$D$25/12,Q99)+IF(R99="",'经营参数'!$D$24/12,R99)+IF(S99="",0,S99),"")</f>
        <v/>
      </c>
      <c r="AA99" s="70">
        <f>IF(A99="是",MAX(0,(V99-Z99)*IF(T99="",'经营参数'!$D$26,T99)),"")</f>
        <v/>
      </c>
      <c r="AB99" s="70">
        <f>IF(A99="是",V99-Z99-AA99,"")</f>
        <v/>
      </c>
      <c r="AC99" s="70">
        <f>IF(A99="是",MAX(0,AB99*IF(U99="",'经营参数'!$D$27,U99)),"")</f>
        <v/>
      </c>
      <c r="AD99" s="70">
        <f>IF(A99="是",AB99-AC99,"")</f>
        <v/>
      </c>
      <c r="AE99" s="20" t="inlineStr">
        <is>
          <t>黄色格为空时，右侧公式使用经营参数中的基础值；启用后，游戏优先采用本行已计算的结果。</t>
        </is>
      </c>
    </row>
    <row r="100">
      <c r="A100" s="34" t="inlineStr">
        <is>
          <t>否</t>
        </is>
      </c>
      <c r="B100" s="20" t="inlineStr">
        <is>
          <t>2038-01</t>
        </is>
      </c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70">
        <f>IF(A100="是",IF(D100="",'经营参数'!$D$47/12,D100)*IF(E100="",'经营参数'!$D$44,E100)+IF(F100="",0,F100)*IF(G100="",'经营参数'!$D$45,G100)+IF(H100="",0,H100)*IF(I100="",'经营参数'!$D$46,I100),"")</f>
        <v/>
      </c>
      <c r="W100" s="70">
        <f>IF(A100="是",(IF(D100="",'经营参数'!$D$47/12,D100)+IF(F100="",0,F100)+IF(H100="",0,H100))*IF(J100="",'经营参数'!$D$20,J100),"")</f>
        <v/>
      </c>
      <c r="X100" s="70">
        <f>IF(A100="是",(IF(D100="",'经营参数'!$D$47/12,D100)+IF(F100="",0,F100)+IF(H100="",0,H100))*IF(K100="",'经营参数'!$D$22,K100)+IF(L100="",'经营参数'!$D$21/12,L100),"")</f>
        <v/>
      </c>
      <c r="Y100" s="70">
        <f>IF(A100="是",IF(M100="",(IF(D100="",'经营参数'!$D$47/12,D100)+IF(F100="",0,F100)+IF(H100="",0,H100))*'经营参数'!$D$51,M100)*IF(N100="",'经营参数'!$D$29,N100)+IF(O100="",(IF(D100="",'经营参数'!$D$47/12,D100)+IF(F100="",0,F100)+IF(H100="",0,H100))*'经营参数'!$D$52,O100)*IF(P100="",'经营参数'!$D$30,P100),"")</f>
        <v/>
      </c>
      <c r="Z100" s="70">
        <f>IF(A100="是",W100+X100+Y100+IF(Q100="",'经营参数'!$D$25/12,Q100)+IF(R100="",'经营参数'!$D$24/12,R100)+IF(S100="",0,S100),"")</f>
        <v/>
      </c>
      <c r="AA100" s="70">
        <f>IF(A100="是",MAX(0,(V100-Z100)*IF(T100="",'经营参数'!$D$26,T100)),"")</f>
        <v/>
      </c>
      <c r="AB100" s="70">
        <f>IF(A100="是",V100-Z100-AA100,"")</f>
        <v/>
      </c>
      <c r="AC100" s="70">
        <f>IF(A100="是",MAX(0,AB100*IF(U100="",'经营参数'!$D$27,U100)),"")</f>
        <v/>
      </c>
      <c r="AD100" s="70">
        <f>IF(A100="是",AB100-AC100,"")</f>
        <v/>
      </c>
      <c r="AE100" s="20" t="inlineStr">
        <is>
          <t>黄色格为空时，右侧公式使用经营参数中的基础值；启用后，游戏优先采用本行已计算的结果。</t>
        </is>
      </c>
    </row>
    <row r="101">
      <c r="A101" s="34" t="inlineStr">
        <is>
          <t>否</t>
        </is>
      </c>
      <c r="B101" s="20" t="inlineStr">
        <is>
          <t>2038-02</t>
        </is>
      </c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70">
        <f>IF(A101="是",IF(D101="",'经营参数'!$D$47/12,D101)*IF(E101="",'经营参数'!$D$44,E101)+IF(F101="",0,F101)*IF(G101="",'经营参数'!$D$45,G101)+IF(H101="",0,H101)*IF(I101="",'经营参数'!$D$46,I101),"")</f>
        <v/>
      </c>
      <c r="W101" s="70">
        <f>IF(A101="是",(IF(D101="",'经营参数'!$D$47/12,D101)+IF(F101="",0,F101)+IF(H101="",0,H101))*IF(J101="",'经营参数'!$D$20,J101),"")</f>
        <v/>
      </c>
      <c r="X101" s="70">
        <f>IF(A101="是",(IF(D101="",'经营参数'!$D$47/12,D101)+IF(F101="",0,F101)+IF(H101="",0,H101))*IF(K101="",'经营参数'!$D$22,K101)+IF(L101="",'经营参数'!$D$21/12,L101),"")</f>
        <v/>
      </c>
      <c r="Y101" s="70">
        <f>IF(A101="是",IF(M101="",(IF(D101="",'经营参数'!$D$47/12,D101)+IF(F101="",0,F101)+IF(H101="",0,H101))*'经营参数'!$D$51,M101)*IF(N101="",'经营参数'!$D$29,N101)+IF(O101="",(IF(D101="",'经营参数'!$D$47/12,D101)+IF(F101="",0,F101)+IF(H101="",0,H101))*'经营参数'!$D$52,O101)*IF(P101="",'经营参数'!$D$30,P101),"")</f>
        <v/>
      </c>
      <c r="Z101" s="70">
        <f>IF(A101="是",W101+X101+Y101+IF(Q101="",'经营参数'!$D$25/12,Q101)+IF(R101="",'经营参数'!$D$24/12,R101)+IF(S101="",0,S101),"")</f>
        <v/>
      </c>
      <c r="AA101" s="70">
        <f>IF(A101="是",MAX(0,(V101-Z101)*IF(T101="",'经营参数'!$D$26,T101)),"")</f>
        <v/>
      </c>
      <c r="AB101" s="70">
        <f>IF(A101="是",V101-Z101-AA101,"")</f>
        <v/>
      </c>
      <c r="AC101" s="70">
        <f>IF(A101="是",MAX(0,AB101*IF(U101="",'经营参数'!$D$27,U101)),"")</f>
        <v/>
      </c>
      <c r="AD101" s="70">
        <f>IF(A101="是",AB101-AC101,"")</f>
        <v/>
      </c>
      <c r="AE101" s="20" t="inlineStr">
        <is>
          <t>黄色格为空时，右侧公式使用经营参数中的基础值；启用后，游戏优先采用本行已计算的结果。</t>
        </is>
      </c>
    </row>
    <row r="102">
      <c r="A102" s="34" t="inlineStr">
        <is>
          <t>否</t>
        </is>
      </c>
      <c r="B102" s="20" t="inlineStr">
        <is>
          <t>2038-03</t>
        </is>
      </c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70">
        <f>IF(A102="是",IF(D102="",'经营参数'!$D$47/12,D102)*IF(E102="",'经营参数'!$D$44,E102)+IF(F102="",0,F102)*IF(G102="",'经营参数'!$D$45,G102)+IF(H102="",0,H102)*IF(I102="",'经营参数'!$D$46,I102),"")</f>
        <v/>
      </c>
      <c r="W102" s="70">
        <f>IF(A102="是",(IF(D102="",'经营参数'!$D$47/12,D102)+IF(F102="",0,F102)+IF(H102="",0,H102))*IF(J102="",'经营参数'!$D$20,J102),"")</f>
        <v/>
      </c>
      <c r="X102" s="70">
        <f>IF(A102="是",(IF(D102="",'经营参数'!$D$47/12,D102)+IF(F102="",0,F102)+IF(H102="",0,H102))*IF(K102="",'经营参数'!$D$22,K102)+IF(L102="",'经营参数'!$D$21/12,L102),"")</f>
        <v/>
      </c>
      <c r="Y102" s="70">
        <f>IF(A102="是",IF(M102="",(IF(D102="",'经营参数'!$D$47/12,D102)+IF(F102="",0,F102)+IF(H102="",0,H102))*'经营参数'!$D$51,M102)*IF(N102="",'经营参数'!$D$29,N102)+IF(O102="",(IF(D102="",'经营参数'!$D$47/12,D102)+IF(F102="",0,F102)+IF(H102="",0,H102))*'经营参数'!$D$52,O102)*IF(P102="",'经营参数'!$D$30,P102),"")</f>
        <v/>
      </c>
      <c r="Z102" s="70">
        <f>IF(A102="是",W102+X102+Y102+IF(Q102="",'经营参数'!$D$25/12,Q102)+IF(R102="",'经营参数'!$D$24/12,R102)+IF(S102="",0,S102),"")</f>
        <v/>
      </c>
      <c r="AA102" s="70">
        <f>IF(A102="是",MAX(0,(V102-Z102)*IF(T102="",'经营参数'!$D$26,T102)),"")</f>
        <v/>
      </c>
      <c r="AB102" s="70">
        <f>IF(A102="是",V102-Z102-AA102,"")</f>
        <v/>
      </c>
      <c r="AC102" s="70">
        <f>IF(A102="是",MAX(0,AB102*IF(U102="",'经营参数'!$D$27,U102)),"")</f>
        <v/>
      </c>
      <c r="AD102" s="70">
        <f>IF(A102="是",AB102-AC102,"")</f>
        <v/>
      </c>
      <c r="AE102" s="20" t="inlineStr">
        <is>
          <t>黄色格为空时，右侧公式使用经营参数中的基础值；启用后，游戏优先采用本行已计算的结果。</t>
        </is>
      </c>
    </row>
    <row r="103">
      <c r="A103" s="34" t="inlineStr">
        <is>
          <t>否</t>
        </is>
      </c>
      <c r="B103" s="20" t="inlineStr">
        <is>
          <t>2038-04</t>
        </is>
      </c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70">
        <f>IF(A103="是",IF(D103="",'经营参数'!$D$47/12,D103)*IF(E103="",'经营参数'!$D$44,E103)+IF(F103="",0,F103)*IF(G103="",'经营参数'!$D$45,G103)+IF(H103="",0,H103)*IF(I103="",'经营参数'!$D$46,I103),"")</f>
        <v/>
      </c>
      <c r="W103" s="70">
        <f>IF(A103="是",(IF(D103="",'经营参数'!$D$47/12,D103)+IF(F103="",0,F103)+IF(H103="",0,H103))*IF(J103="",'经营参数'!$D$20,J103),"")</f>
        <v/>
      </c>
      <c r="X103" s="70">
        <f>IF(A103="是",(IF(D103="",'经营参数'!$D$47/12,D103)+IF(F103="",0,F103)+IF(H103="",0,H103))*IF(K103="",'经营参数'!$D$22,K103)+IF(L103="",'经营参数'!$D$21/12,L103),"")</f>
        <v/>
      </c>
      <c r="Y103" s="70">
        <f>IF(A103="是",IF(M103="",(IF(D103="",'经营参数'!$D$47/12,D103)+IF(F103="",0,F103)+IF(H103="",0,H103))*'经营参数'!$D$51,M103)*IF(N103="",'经营参数'!$D$29,N103)+IF(O103="",(IF(D103="",'经营参数'!$D$47/12,D103)+IF(F103="",0,F103)+IF(H103="",0,H103))*'经营参数'!$D$52,O103)*IF(P103="",'经营参数'!$D$30,P103),"")</f>
        <v/>
      </c>
      <c r="Z103" s="70">
        <f>IF(A103="是",W103+X103+Y103+IF(Q103="",'经营参数'!$D$25/12,Q103)+IF(R103="",'经营参数'!$D$24/12,R103)+IF(S103="",0,S103),"")</f>
        <v/>
      </c>
      <c r="AA103" s="70">
        <f>IF(A103="是",MAX(0,(V103-Z103)*IF(T103="",'经营参数'!$D$26,T103)),"")</f>
        <v/>
      </c>
      <c r="AB103" s="70">
        <f>IF(A103="是",V103-Z103-AA103,"")</f>
        <v/>
      </c>
      <c r="AC103" s="70">
        <f>IF(A103="是",MAX(0,AB103*IF(U103="",'经营参数'!$D$27,U103)),"")</f>
        <v/>
      </c>
      <c r="AD103" s="70">
        <f>IF(A103="是",AB103-AC103,"")</f>
        <v/>
      </c>
      <c r="AE103" s="20" t="inlineStr">
        <is>
          <t>黄色格为空时，右侧公式使用经营参数中的基础值；启用后，游戏优先采用本行已计算的结果。</t>
        </is>
      </c>
    </row>
    <row r="104">
      <c r="A104" s="34" t="inlineStr">
        <is>
          <t>否</t>
        </is>
      </c>
      <c r="B104" s="20" t="inlineStr">
        <is>
          <t>2038-05</t>
        </is>
      </c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70">
        <f>IF(A104="是",IF(D104="",'经营参数'!$D$47/12,D104)*IF(E104="",'经营参数'!$D$44,E104)+IF(F104="",0,F104)*IF(G104="",'经营参数'!$D$45,G104)+IF(H104="",0,H104)*IF(I104="",'经营参数'!$D$46,I104),"")</f>
        <v/>
      </c>
      <c r="W104" s="70">
        <f>IF(A104="是",(IF(D104="",'经营参数'!$D$47/12,D104)+IF(F104="",0,F104)+IF(H104="",0,H104))*IF(J104="",'经营参数'!$D$20,J104),"")</f>
        <v/>
      </c>
      <c r="X104" s="70">
        <f>IF(A104="是",(IF(D104="",'经营参数'!$D$47/12,D104)+IF(F104="",0,F104)+IF(H104="",0,H104))*IF(K104="",'经营参数'!$D$22,K104)+IF(L104="",'经营参数'!$D$21/12,L104),"")</f>
        <v/>
      </c>
      <c r="Y104" s="70">
        <f>IF(A104="是",IF(M104="",(IF(D104="",'经营参数'!$D$47/12,D104)+IF(F104="",0,F104)+IF(H104="",0,H104))*'经营参数'!$D$51,M104)*IF(N104="",'经营参数'!$D$29,N104)+IF(O104="",(IF(D104="",'经营参数'!$D$47/12,D104)+IF(F104="",0,F104)+IF(H104="",0,H104))*'经营参数'!$D$52,O104)*IF(P104="",'经营参数'!$D$30,P104),"")</f>
        <v/>
      </c>
      <c r="Z104" s="70">
        <f>IF(A104="是",W104+X104+Y104+IF(Q104="",'经营参数'!$D$25/12,Q104)+IF(R104="",'经营参数'!$D$24/12,R104)+IF(S104="",0,S104),"")</f>
        <v/>
      </c>
      <c r="AA104" s="70">
        <f>IF(A104="是",MAX(0,(V104-Z104)*IF(T104="",'经营参数'!$D$26,T104)),"")</f>
        <v/>
      </c>
      <c r="AB104" s="70">
        <f>IF(A104="是",V104-Z104-AA104,"")</f>
        <v/>
      </c>
      <c r="AC104" s="70">
        <f>IF(A104="是",MAX(0,AB104*IF(U104="",'经营参数'!$D$27,U104)),"")</f>
        <v/>
      </c>
      <c r="AD104" s="70">
        <f>IF(A104="是",AB104-AC104,"")</f>
        <v/>
      </c>
      <c r="AE104" s="20" t="inlineStr">
        <is>
          <t>黄色格为空时，右侧公式使用经营参数中的基础值；启用后，游戏优先采用本行已计算的结果。</t>
        </is>
      </c>
    </row>
    <row r="105">
      <c r="A105" s="34" t="inlineStr">
        <is>
          <t>否</t>
        </is>
      </c>
      <c r="B105" s="20" t="inlineStr">
        <is>
          <t>2038-06</t>
        </is>
      </c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70">
        <f>IF(A105="是",IF(D105="",'经营参数'!$D$47/12,D105)*IF(E105="",'经营参数'!$D$44,E105)+IF(F105="",0,F105)*IF(G105="",'经营参数'!$D$45,G105)+IF(H105="",0,H105)*IF(I105="",'经营参数'!$D$46,I105),"")</f>
        <v/>
      </c>
      <c r="W105" s="70">
        <f>IF(A105="是",(IF(D105="",'经营参数'!$D$47/12,D105)+IF(F105="",0,F105)+IF(H105="",0,H105))*IF(J105="",'经营参数'!$D$20,J105),"")</f>
        <v/>
      </c>
      <c r="X105" s="70">
        <f>IF(A105="是",(IF(D105="",'经营参数'!$D$47/12,D105)+IF(F105="",0,F105)+IF(H105="",0,H105))*IF(K105="",'经营参数'!$D$22,K105)+IF(L105="",'经营参数'!$D$21/12,L105),"")</f>
        <v/>
      </c>
      <c r="Y105" s="70">
        <f>IF(A105="是",IF(M105="",(IF(D105="",'经营参数'!$D$47/12,D105)+IF(F105="",0,F105)+IF(H105="",0,H105))*'经营参数'!$D$51,M105)*IF(N105="",'经营参数'!$D$29,N105)+IF(O105="",(IF(D105="",'经营参数'!$D$47/12,D105)+IF(F105="",0,F105)+IF(H105="",0,H105))*'经营参数'!$D$52,O105)*IF(P105="",'经营参数'!$D$30,P105),"")</f>
        <v/>
      </c>
      <c r="Z105" s="70">
        <f>IF(A105="是",W105+X105+Y105+IF(Q105="",'经营参数'!$D$25/12,Q105)+IF(R105="",'经营参数'!$D$24/12,R105)+IF(S105="",0,S105),"")</f>
        <v/>
      </c>
      <c r="AA105" s="70">
        <f>IF(A105="是",MAX(0,(V105-Z105)*IF(T105="",'经营参数'!$D$26,T105)),"")</f>
        <v/>
      </c>
      <c r="AB105" s="70">
        <f>IF(A105="是",V105-Z105-AA105,"")</f>
        <v/>
      </c>
      <c r="AC105" s="70">
        <f>IF(A105="是",MAX(0,AB105*IF(U105="",'经营参数'!$D$27,U105)),"")</f>
        <v/>
      </c>
      <c r="AD105" s="70">
        <f>IF(A105="是",AB105-AC105,"")</f>
        <v/>
      </c>
      <c r="AE105" s="20" t="inlineStr">
        <is>
          <t>黄色格为空时，右侧公式使用经营参数中的基础值；启用后，游戏优先采用本行已计算的结果。</t>
        </is>
      </c>
    </row>
    <row r="106">
      <c r="A106" s="34" t="inlineStr">
        <is>
          <t>否</t>
        </is>
      </c>
      <c r="B106" s="20" t="inlineStr">
        <is>
          <t>2038-07</t>
        </is>
      </c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70">
        <f>IF(A106="是",IF(D106="",'经营参数'!$D$47/12,D106)*IF(E106="",'经营参数'!$D$44,E106)+IF(F106="",0,F106)*IF(G106="",'经营参数'!$D$45,G106)+IF(H106="",0,H106)*IF(I106="",'经营参数'!$D$46,I106),"")</f>
        <v/>
      </c>
      <c r="W106" s="70">
        <f>IF(A106="是",(IF(D106="",'经营参数'!$D$47/12,D106)+IF(F106="",0,F106)+IF(H106="",0,H106))*IF(J106="",'经营参数'!$D$20,J106),"")</f>
        <v/>
      </c>
      <c r="X106" s="70">
        <f>IF(A106="是",(IF(D106="",'经营参数'!$D$47/12,D106)+IF(F106="",0,F106)+IF(H106="",0,H106))*IF(K106="",'经营参数'!$D$22,K106)+IF(L106="",'经营参数'!$D$21/12,L106),"")</f>
        <v/>
      </c>
      <c r="Y106" s="70">
        <f>IF(A106="是",IF(M106="",(IF(D106="",'经营参数'!$D$47/12,D106)+IF(F106="",0,F106)+IF(H106="",0,H106))*'经营参数'!$D$51,M106)*IF(N106="",'经营参数'!$D$29,N106)+IF(O106="",(IF(D106="",'经营参数'!$D$47/12,D106)+IF(F106="",0,F106)+IF(H106="",0,H106))*'经营参数'!$D$52,O106)*IF(P106="",'经营参数'!$D$30,P106),"")</f>
        <v/>
      </c>
      <c r="Z106" s="70">
        <f>IF(A106="是",W106+X106+Y106+IF(Q106="",'经营参数'!$D$25/12,Q106)+IF(R106="",'经营参数'!$D$24/12,R106)+IF(S106="",0,S106),"")</f>
        <v/>
      </c>
      <c r="AA106" s="70">
        <f>IF(A106="是",MAX(0,(V106-Z106)*IF(T106="",'经营参数'!$D$26,T106)),"")</f>
        <v/>
      </c>
      <c r="AB106" s="70">
        <f>IF(A106="是",V106-Z106-AA106,"")</f>
        <v/>
      </c>
      <c r="AC106" s="70">
        <f>IF(A106="是",MAX(0,AB106*IF(U106="",'经营参数'!$D$27,U106)),"")</f>
        <v/>
      </c>
      <c r="AD106" s="70">
        <f>IF(A106="是",AB106-AC106,"")</f>
        <v/>
      </c>
      <c r="AE106" s="20" t="inlineStr">
        <is>
          <t>黄色格为空时，右侧公式使用经营参数中的基础值；启用后，游戏优先采用本行已计算的结果。</t>
        </is>
      </c>
    </row>
    <row r="107">
      <c r="A107" s="34" t="inlineStr">
        <is>
          <t>否</t>
        </is>
      </c>
      <c r="B107" s="20" t="inlineStr">
        <is>
          <t>2038-08</t>
        </is>
      </c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70">
        <f>IF(A107="是",IF(D107="",'经营参数'!$D$47/12,D107)*IF(E107="",'经营参数'!$D$44,E107)+IF(F107="",0,F107)*IF(G107="",'经营参数'!$D$45,G107)+IF(H107="",0,H107)*IF(I107="",'经营参数'!$D$46,I107),"")</f>
        <v/>
      </c>
      <c r="W107" s="70">
        <f>IF(A107="是",(IF(D107="",'经营参数'!$D$47/12,D107)+IF(F107="",0,F107)+IF(H107="",0,H107))*IF(J107="",'经营参数'!$D$20,J107),"")</f>
        <v/>
      </c>
      <c r="X107" s="70">
        <f>IF(A107="是",(IF(D107="",'经营参数'!$D$47/12,D107)+IF(F107="",0,F107)+IF(H107="",0,H107))*IF(K107="",'经营参数'!$D$22,K107)+IF(L107="",'经营参数'!$D$21/12,L107),"")</f>
        <v/>
      </c>
      <c r="Y107" s="70">
        <f>IF(A107="是",IF(M107="",(IF(D107="",'经营参数'!$D$47/12,D107)+IF(F107="",0,F107)+IF(H107="",0,H107))*'经营参数'!$D$51,M107)*IF(N107="",'经营参数'!$D$29,N107)+IF(O107="",(IF(D107="",'经营参数'!$D$47/12,D107)+IF(F107="",0,F107)+IF(H107="",0,H107))*'经营参数'!$D$52,O107)*IF(P107="",'经营参数'!$D$30,P107),"")</f>
        <v/>
      </c>
      <c r="Z107" s="70">
        <f>IF(A107="是",W107+X107+Y107+IF(Q107="",'经营参数'!$D$25/12,Q107)+IF(R107="",'经营参数'!$D$24/12,R107)+IF(S107="",0,S107),"")</f>
        <v/>
      </c>
      <c r="AA107" s="70">
        <f>IF(A107="是",MAX(0,(V107-Z107)*IF(T107="",'经营参数'!$D$26,T107)),"")</f>
        <v/>
      </c>
      <c r="AB107" s="70">
        <f>IF(A107="是",V107-Z107-AA107,"")</f>
        <v/>
      </c>
      <c r="AC107" s="70">
        <f>IF(A107="是",MAX(0,AB107*IF(U107="",'经营参数'!$D$27,U107)),"")</f>
        <v/>
      </c>
      <c r="AD107" s="70">
        <f>IF(A107="是",AB107-AC107,"")</f>
        <v/>
      </c>
      <c r="AE107" s="20" t="inlineStr">
        <is>
          <t>黄色格为空时，右侧公式使用经营参数中的基础值；启用后，游戏优先采用本行已计算的结果。</t>
        </is>
      </c>
    </row>
    <row r="108">
      <c r="A108" s="34" t="inlineStr">
        <is>
          <t>否</t>
        </is>
      </c>
      <c r="B108" s="20" t="inlineStr">
        <is>
          <t>2038-09</t>
        </is>
      </c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70">
        <f>IF(A108="是",IF(D108="",'经营参数'!$D$47/12,D108)*IF(E108="",'经营参数'!$D$44,E108)+IF(F108="",0,F108)*IF(G108="",'经营参数'!$D$45,G108)+IF(H108="",0,H108)*IF(I108="",'经营参数'!$D$46,I108),"")</f>
        <v/>
      </c>
      <c r="W108" s="70">
        <f>IF(A108="是",(IF(D108="",'经营参数'!$D$47/12,D108)+IF(F108="",0,F108)+IF(H108="",0,H108))*IF(J108="",'经营参数'!$D$20,J108),"")</f>
        <v/>
      </c>
      <c r="X108" s="70">
        <f>IF(A108="是",(IF(D108="",'经营参数'!$D$47/12,D108)+IF(F108="",0,F108)+IF(H108="",0,H108))*IF(K108="",'经营参数'!$D$22,K108)+IF(L108="",'经营参数'!$D$21/12,L108),"")</f>
        <v/>
      </c>
      <c r="Y108" s="70">
        <f>IF(A108="是",IF(M108="",(IF(D108="",'经营参数'!$D$47/12,D108)+IF(F108="",0,F108)+IF(H108="",0,H108))*'经营参数'!$D$51,M108)*IF(N108="",'经营参数'!$D$29,N108)+IF(O108="",(IF(D108="",'经营参数'!$D$47/12,D108)+IF(F108="",0,F108)+IF(H108="",0,H108))*'经营参数'!$D$52,O108)*IF(P108="",'经营参数'!$D$30,P108),"")</f>
        <v/>
      </c>
      <c r="Z108" s="70">
        <f>IF(A108="是",W108+X108+Y108+IF(Q108="",'经营参数'!$D$25/12,Q108)+IF(R108="",'经营参数'!$D$24/12,R108)+IF(S108="",0,S108),"")</f>
        <v/>
      </c>
      <c r="AA108" s="70">
        <f>IF(A108="是",MAX(0,(V108-Z108)*IF(T108="",'经营参数'!$D$26,T108)),"")</f>
        <v/>
      </c>
      <c r="AB108" s="70">
        <f>IF(A108="是",V108-Z108-AA108,"")</f>
        <v/>
      </c>
      <c r="AC108" s="70">
        <f>IF(A108="是",MAX(0,AB108*IF(U108="",'经营参数'!$D$27,U108)),"")</f>
        <v/>
      </c>
      <c r="AD108" s="70">
        <f>IF(A108="是",AB108-AC108,"")</f>
        <v/>
      </c>
      <c r="AE108" s="20" t="inlineStr">
        <is>
          <t>黄色格为空时，右侧公式使用经营参数中的基础值；启用后，游戏优先采用本行已计算的结果。</t>
        </is>
      </c>
    </row>
    <row r="109">
      <c r="A109" s="34" t="inlineStr">
        <is>
          <t>否</t>
        </is>
      </c>
      <c r="B109" s="20" t="inlineStr">
        <is>
          <t>2038-10</t>
        </is>
      </c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70">
        <f>IF(A109="是",IF(D109="",'经营参数'!$D$47/12,D109)*IF(E109="",'经营参数'!$D$44,E109)+IF(F109="",0,F109)*IF(G109="",'经营参数'!$D$45,G109)+IF(H109="",0,H109)*IF(I109="",'经营参数'!$D$46,I109),"")</f>
        <v/>
      </c>
      <c r="W109" s="70">
        <f>IF(A109="是",(IF(D109="",'经营参数'!$D$47/12,D109)+IF(F109="",0,F109)+IF(H109="",0,H109))*IF(J109="",'经营参数'!$D$20,J109),"")</f>
        <v/>
      </c>
      <c r="X109" s="70">
        <f>IF(A109="是",(IF(D109="",'经营参数'!$D$47/12,D109)+IF(F109="",0,F109)+IF(H109="",0,H109))*IF(K109="",'经营参数'!$D$22,K109)+IF(L109="",'经营参数'!$D$21/12,L109),"")</f>
        <v/>
      </c>
      <c r="Y109" s="70">
        <f>IF(A109="是",IF(M109="",(IF(D109="",'经营参数'!$D$47/12,D109)+IF(F109="",0,F109)+IF(H109="",0,H109))*'经营参数'!$D$51,M109)*IF(N109="",'经营参数'!$D$29,N109)+IF(O109="",(IF(D109="",'经营参数'!$D$47/12,D109)+IF(F109="",0,F109)+IF(H109="",0,H109))*'经营参数'!$D$52,O109)*IF(P109="",'经营参数'!$D$30,P109),"")</f>
        <v/>
      </c>
      <c r="Z109" s="70">
        <f>IF(A109="是",W109+X109+Y109+IF(Q109="",'经营参数'!$D$25/12,Q109)+IF(R109="",'经营参数'!$D$24/12,R109)+IF(S109="",0,S109),"")</f>
        <v/>
      </c>
      <c r="AA109" s="70">
        <f>IF(A109="是",MAX(0,(V109-Z109)*IF(T109="",'经营参数'!$D$26,T109)),"")</f>
        <v/>
      </c>
      <c r="AB109" s="70">
        <f>IF(A109="是",V109-Z109-AA109,"")</f>
        <v/>
      </c>
      <c r="AC109" s="70">
        <f>IF(A109="是",MAX(0,AB109*IF(U109="",'经营参数'!$D$27,U109)),"")</f>
        <v/>
      </c>
      <c r="AD109" s="70">
        <f>IF(A109="是",AB109-AC109,"")</f>
        <v/>
      </c>
      <c r="AE109" s="20" t="inlineStr">
        <is>
          <t>黄色格为空时，右侧公式使用经营参数中的基础值；启用后，游戏优先采用本行已计算的结果。</t>
        </is>
      </c>
    </row>
    <row r="110">
      <c r="A110" s="34" t="inlineStr">
        <is>
          <t>否</t>
        </is>
      </c>
      <c r="B110" s="20" t="inlineStr">
        <is>
          <t>2038-11</t>
        </is>
      </c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70">
        <f>IF(A110="是",IF(D110="",'经营参数'!$D$47/12,D110)*IF(E110="",'经营参数'!$D$44,E110)+IF(F110="",0,F110)*IF(G110="",'经营参数'!$D$45,G110)+IF(H110="",0,H110)*IF(I110="",'经营参数'!$D$46,I110),"")</f>
        <v/>
      </c>
      <c r="W110" s="70">
        <f>IF(A110="是",(IF(D110="",'经营参数'!$D$47/12,D110)+IF(F110="",0,F110)+IF(H110="",0,H110))*IF(J110="",'经营参数'!$D$20,J110),"")</f>
        <v/>
      </c>
      <c r="X110" s="70">
        <f>IF(A110="是",(IF(D110="",'经营参数'!$D$47/12,D110)+IF(F110="",0,F110)+IF(H110="",0,H110))*IF(K110="",'经营参数'!$D$22,K110)+IF(L110="",'经营参数'!$D$21/12,L110),"")</f>
        <v/>
      </c>
      <c r="Y110" s="70">
        <f>IF(A110="是",IF(M110="",(IF(D110="",'经营参数'!$D$47/12,D110)+IF(F110="",0,F110)+IF(H110="",0,H110))*'经营参数'!$D$51,M110)*IF(N110="",'经营参数'!$D$29,N110)+IF(O110="",(IF(D110="",'经营参数'!$D$47/12,D110)+IF(F110="",0,F110)+IF(H110="",0,H110))*'经营参数'!$D$52,O110)*IF(P110="",'经营参数'!$D$30,P110),"")</f>
        <v/>
      </c>
      <c r="Z110" s="70">
        <f>IF(A110="是",W110+X110+Y110+IF(Q110="",'经营参数'!$D$25/12,Q110)+IF(R110="",'经营参数'!$D$24/12,R110)+IF(S110="",0,S110),"")</f>
        <v/>
      </c>
      <c r="AA110" s="70">
        <f>IF(A110="是",MAX(0,(V110-Z110)*IF(T110="",'经营参数'!$D$26,T110)),"")</f>
        <v/>
      </c>
      <c r="AB110" s="70">
        <f>IF(A110="是",V110-Z110-AA110,"")</f>
        <v/>
      </c>
      <c r="AC110" s="70">
        <f>IF(A110="是",MAX(0,AB110*IF(U110="",'经营参数'!$D$27,U110)),"")</f>
        <v/>
      </c>
      <c r="AD110" s="70">
        <f>IF(A110="是",AB110-AC110,"")</f>
        <v/>
      </c>
      <c r="AE110" s="20" t="inlineStr">
        <is>
          <t>黄色格为空时，右侧公式使用经营参数中的基础值；启用后，游戏优先采用本行已计算的结果。</t>
        </is>
      </c>
    </row>
    <row r="111">
      <c r="A111" s="34" t="inlineStr">
        <is>
          <t>否</t>
        </is>
      </c>
      <c r="B111" s="20" t="inlineStr">
        <is>
          <t>2038-12</t>
        </is>
      </c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70">
        <f>IF(A111="是",IF(D111="",'经营参数'!$D$47/12,D111)*IF(E111="",'经营参数'!$D$44,E111)+IF(F111="",0,F111)*IF(G111="",'经营参数'!$D$45,G111)+IF(H111="",0,H111)*IF(I111="",'经营参数'!$D$46,I111),"")</f>
        <v/>
      </c>
      <c r="W111" s="70">
        <f>IF(A111="是",(IF(D111="",'经营参数'!$D$47/12,D111)+IF(F111="",0,F111)+IF(H111="",0,H111))*IF(J111="",'经营参数'!$D$20,J111),"")</f>
        <v/>
      </c>
      <c r="X111" s="70">
        <f>IF(A111="是",(IF(D111="",'经营参数'!$D$47/12,D111)+IF(F111="",0,F111)+IF(H111="",0,H111))*IF(K111="",'经营参数'!$D$22,K111)+IF(L111="",'经营参数'!$D$21/12,L111),"")</f>
        <v/>
      </c>
      <c r="Y111" s="70">
        <f>IF(A111="是",IF(M111="",(IF(D111="",'经营参数'!$D$47/12,D111)+IF(F111="",0,F111)+IF(H111="",0,H111))*'经营参数'!$D$51,M111)*IF(N111="",'经营参数'!$D$29,N111)+IF(O111="",(IF(D111="",'经营参数'!$D$47/12,D111)+IF(F111="",0,F111)+IF(H111="",0,H111))*'经营参数'!$D$52,O111)*IF(P111="",'经营参数'!$D$30,P111),"")</f>
        <v/>
      </c>
      <c r="Z111" s="70">
        <f>IF(A111="是",W111+X111+Y111+IF(Q111="",'经营参数'!$D$25/12,Q111)+IF(R111="",'经营参数'!$D$24/12,R111)+IF(S111="",0,S111),"")</f>
        <v/>
      </c>
      <c r="AA111" s="70">
        <f>IF(A111="是",MAX(0,(V111-Z111)*IF(T111="",'经营参数'!$D$26,T111)),"")</f>
        <v/>
      </c>
      <c r="AB111" s="70">
        <f>IF(A111="是",V111-Z111-AA111,"")</f>
        <v/>
      </c>
      <c r="AC111" s="70">
        <f>IF(A111="是",MAX(0,AB111*IF(U111="",'经营参数'!$D$27,U111)),"")</f>
        <v/>
      </c>
      <c r="AD111" s="70">
        <f>IF(A111="是",AB111-AC111,"")</f>
        <v/>
      </c>
      <c r="AE111" s="20" t="inlineStr">
        <is>
          <t>黄色格为空时，右侧公式使用经营参数中的基础值；启用后，游戏优先采用本行已计算的结果。</t>
        </is>
      </c>
    </row>
    <row r="112">
      <c r="A112" s="34" t="inlineStr">
        <is>
          <t>否</t>
        </is>
      </c>
      <c r="B112" s="20" t="inlineStr">
        <is>
          <t>2039-01</t>
        </is>
      </c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70">
        <f>IF(A112="是",IF(D112="",'经营参数'!$D$47/12,D112)*IF(E112="",'经营参数'!$D$44,E112)+IF(F112="",0,F112)*IF(G112="",'经营参数'!$D$45,G112)+IF(H112="",0,H112)*IF(I112="",'经营参数'!$D$46,I112),"")</f>
        <v/>
      </c>
      <c r="W112" s="70">
        <f>IF(A112="是",(IF(D112="",'经营参数'!$D$47/12,D112)+IF(F112="",0,F112)+IF(H112="",0,H112))*IF(J112="",'经营参数'!$D$20,J112),"")</f>
        <v/>
      </c>
      <c r="X112" s="70">
        <f>IF(A112="是",(IF(D112="",'经营参数'!$D$47/12,D112)+IF(F112="",0,F112)+IF(H112="",0,H112))*IF(K112="",'经营参数'!$D$22,K112)+IF(L112="",'经营参数'!$D$21/12,L112),"")</f>
        <v/>
      </c>
      <c r="Y112" s="70">
        <f>IF(A112="是",IF(M112="",(IF(D112="",'经营参数'!$D$47/12,D112)+IF(F112="",0,F112)+IF(H112="",0,H112))*'经营参数'!$D$51,M112)*IF(N112="",'经营参数'!$D$29,N112)+IF(O112="",(IF(D112="",'经营参数'!$D$47/12,D112)+IF(F112="",0,F112)+IF(H112="",0,H112))*'经营参数'!$D$52,O112)*IF(P112="",'经营参数'!$D$30,P112),"")</f>
        <v/>
      </c>
      <c r="Z112" s="70">
        <f>IF(A112="是",W112+X112+Y112+IF(Q112="",'经营参数'!$D$25/12,Q112)+IF(R112="",'经营参数'!$D$24/12,R112)+IF(S112="",0,S112),"")</f>
        <v/>
      </c>
      <c r="AA112" s="70">
        <f>IF(A112="是",MAX(0,(V112-Z112)*IF(T112="",'经营参数'!$D$26,T112)),"")</f>
        <v/>
      </c>
      <c r="AB112" s="70">
        <f>IF(A112="是",V112-Z112-AA112,"")</f>
        <v/>
      </c>
      <c r="AC112" s="70">
        <f>IF(A112="是",MAX(0,AB112*IF(U112="",'经营参数'!$D$27,U112)),"")</f>
        <v/>
      </c>
      <c r="AD112" s="70">
        <f>IF(A112="是",AB112-AC112,"")</f>
        <v/>
      </c>
      <c r="AE112" s="20" t="inlineStr">
        <is>
          <t>黄色格为空时，右侧公式使用经营参数中的基础值；启用后，游戏优先采用本行已计算的结果。</t>
        </is>
      </c>
    </row>
    <row r="113">
      <c r="A113" s="34" t="inlineStr">
        <is>
          <t>否</t>
        </is>
      </c>
      <c r="B113" s="20" t="inlineStr">
        <is>
          <t>2039-02</t>
        </is>
      </c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70">
        <f>IF(A113="是",IF(D113="",'经营参数'!$D$47/12,D113)*IF(E113="",'经营参数'!$D$44,E113)+IF(F113="",0,F113)*IF(G113="",'经营参数'!$D$45,G113)+IF(H113="",0,H113)*IF(I113="",'经营参数'!$D$46,I113),"")</f>
        <v/>
      </c>
      <c r="W113" s="70">
        <f>IF(A113="是",(IF(D113="",'经营参数'!$D$47/12,D113)+IF(F113="",0,F113)+IF(H113="",0,H113))*IF(J113="",'经营参数'!$D$20,J113),"")</f>
        <v/>
      </c>
      <c r="X113" s="70">
        <f>IF(A113="是",(IF(D113="",'经营参数'!$D$47/12,D113)+IF(F113="",0,F113)+IF(H113="",0,H113))*IF(K113="",'经营参数'!$D$22,K113)+IF(L113="",'经营参数'!$D$21/12,L113),"")</f>
        <v/>
      </c>
      <c r="Y113" s="70">
        <f>IF(A113="是",IF(M113="",(IF(D113="",'经营参数'!$D$47/12,D113)+IF(F113="",0,F113)+IF(H113="",0,H113))*'经营参数'!$D$51,M113)*IF(N113="",'经营参数'!$D$29,N113)+IF(O113="",(IF(D113="",'经营参数'!$D$47/12,D113)+IF(F113="",0,F113)+IF(H113="",0,H113))*'经营参数'!$D$52,O113)*IF(P113="",'经营参数'!$D$30,P113),"")</f>
        <v/>
      </c>
      <c r="Z113" s="70">
        <f>IF(A113="是",W113+X113+Y113+IF(Q113="",'经营参数'!$D$25/12,Q113)+IF(R113="",'经营参数'!$D$24/12,R113)+IF(S113="",0,S113),"")</f>
        <v/>
      </c>
      <c r="AA113" s="70">
        <f>IF(A113="是",MAX(0,(V113-Z113)*IF(T113="",'经营参数'!$D$26,T113)),"")</f>
        <v/>
      </c>
      <c r="AB113" s="70">
        <f>IF(A113="是",V113-Z113-AA113,"")</f>
        <v/>
      </c>
      <c r="AC113" s="70">
        <f>IF(A113="是",MAX(0,AB113*IF(U113="",'经营参数'!$D$27,U113)),"")</f>
        <v/>
      </c>
      <c r="AD113" s="70">
        <f>IF(A113="是",AB113-AC113,"")</f>
        <v/>
      </c>
      <c r="AE113" s="20" t="inlineStr">
        <is>
          <t>黄色格为空时，右侧公式使用经营参数中的基础值；启用后，游戏优先采用本行已计算的结果。</t>
        </is>
      </c>
    </row>
    <row r="114">
      <c r="A114" s="34" t="inlineStr">
        <is>
          <t>否</t>
        </is>
      </c>
      <c r="B114" s="20" t="inlineStr">
        <is>
          <t>2039-03</t>
        </is>
      </c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70">
        <f>IF(A114="是",IF(D114="",'经营参数'!$D$47/12,D114)*IF(E114="",'经营参数'!$D$44,E114)+IF(F114="",0,F114)*IF(G114="",'经营参数'!$D$45,G114)+IF(H114="",0,H114)*IF(I114="",'经营参数'!$D$46,I114),"")</f>
        <v/>
      </c>
      <c r="W114" s="70">
        <f>IF(A114="是",(IF(D114="",'经营参数'!$D$47/12,D114)+IF(F114="",0,F114)+IF(H114="",0,H114))*IF(J114="",'经营参数'!$D$20,J114),"")</f>
        <v/>
      </c>
      <c r="X114" s="70">
        <f>IF(A114="是",(IF(D114="",'经营参数'!$D$47/12,D114)+IF(F114="",0,F114)+IF(H114="",0,H114))*IF(K114="",'经营参数'!$D$22,K114)+IF(L114="",'经营参数'!$D$21/12,L114),"")</f>
        <v/>
      </c>
      <c r="Y114" s="70">
        <f>IF(A114="是",IF(M114="",(IF(D114="",'经营参数'!$D$47/12,D114)+IF(F114="",0,F114)+IF(H114="",0,H114))*'经营参数'!$D$51,M114)*IF(N114="",'经营参数'!$D$29,N114)+IF(O114="",(IF(D114="",'经营参数'!$D$47/12,D114)+IF(F114="",0,F114)+IF(H114="",0,H114))*'经营参数'!$D$52,O114)*IF(P114="",'经营参数'!$D$30,P114),"")</f>
        <v/>
      </c>
      <c r="Z114" s="70">
        <f>IF(A114="是",W114+X114+Y114+IF(Q114="",'经营参数'!$D$25/12,Q114)+IF(R114="",'经营参数'!$D$24/12,R114)+IF(S114="",0,S114),"")</f>
        <v/>
      </c>
      <c r="AA114" s="70">
        <f>IF(A114="是",MAX(0,(V114-Z114)*IF(T114="",'经营参数'!$D$26,T114)),"")</f>
        <v/>
      </c>
      <c r="AB114" s="70">
        <f>IF(A114="是",V114-Z114-AA114,"")</f>
        <v/>
      </c>
      <c r="AC114" s="70">
        <f>IF(A114="是",MAX(0,AB114*IF(U114="",'经营参数'!$D$27,U114)),"")</f>
        <v/>
      </c>
      <c r="AD114" s="70">
        <f>IF(A114="是",AB114-AC114,"")</f>
        <v/>
      </c>
      <c r="AE114" s="20" t="inlineStr">
        <is>
          <t>黄色格为空时，右侧公式使用经营参数中的基础值；启用后，游戏优先采用本行已计算的结果。</t>
        </is>
      </c>
    </row>
    <row r="115">
      <c r="A115" s="34" t="inlineStr">
        <is>
          <t>否</t>
        </is>
      </c>
      <c r="B115" s="20" t="inlineStr">
        <is>
          <t>2039-04</t>
        </is>
      </c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70">
        <f>IF(A115="是",IF(D115="",'经营参数'!$D$47/12,D115)*IF(E115="",'经营参数'!$D$44,E115)+IF(F115="",0,F115)*IF(G115="",'经营参数'!$D$45,G115)+IF(H115="",0,H115)*IF(I115="",'经营参数'!$D$46,I115),"")</f>
        <v/>
      </c>
      <c r="W115" s="70">
        <f>IF(A115="是",(IF(D115="",'经营参数'!$D$47/12,D115)+IF(F115="",0,F115)+IF(H115="",0,H115))*IF(J115="",'经营参数'!$D$20,J115),"")</f>
        <v/>
      </c>
      <c r="X115" s="70">
        <f>IF(A115="是",(IF(D115="",'经营参数'!$D$47/12,D115)+IF(F115="",0,F115)+IF(H115="",0,H115))*IF(K115="",'经营参数'!$D$22,K115)+IF(L115="",'经营参数'!$D$21/12,L115),"")</f>
        <v/>
      </c>
      <c r="Y115" s="70">
        <f>IF(A115="是",IF(M115="",(IF(D115="",'经营参数'!$D$47/12,D115)+IF(F115="",0,F115)+IF(H115="",0,H115))*'经营参数'!$D$51,M115)*IF(N115="",'经营参数'!$D$29,N115)+IF(O115="",(IF(D115="",'经营参数'!$D$47/12,D115)+IF(F115="",0,F115)+IF(H115="",0,H115))*'经营参数'!$D$52,O115)*IF(P115="",'经营参数'!$D$30,P115),"")</f>
        <v/>
      </c>
      <c r="Z115" s="70">
        <f>IF(A115="是",W115+X115+Y115+IF(Q115="",'经营参数'!$D$25/12,Q115)+IF(R115="",'经营参数'!$D$24/12,R115)+IF(S115="",0,S115),"")</f>
        <v/>
      </c>
      <c r="AA115" s="70">
        <f>IF(A115="是",MAX(0,(V115-Z115)*IF(T115="",'经营参数'!$D$26,T115)),"")</f>
        <v/>
      </c>
      <c r="AB115" s="70">
        <f>IF(A115="是",V115-Z115-AA115,"")</f>
        <v/>
      </c>
      <c r="AC115" s="70">
        <f>IF(A115="是",MAX(0,AB115*IF(U115="",'经营参数'!$D$27,U115)),"")</f>
        <v/>
      </c>
      <c r="AD115" s="70">
        <f>IF(A115="是",AB115-AC115,"")</f>
        <v/>
      </c>
      <c r="AE115" s="20" t="inlineStr">
        <is>
          <t>黄色格为空时，右侧公式使用经营参数中的基础值；启用后，游戏优先采用本行已计算的结果。</t>
        </is>
      </c>
    </row>
    <row r="116">
      <c r="A116" s="34" t="inlineStr">
        <is>
          <t>否</t>
        </is>
      </c>
      <c r="B116" s="20" t="inlineStr">
        <is>
          <t>2039-05</t>
        </is>
      </c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70">
        <f>IF(A116="是",IF(D116="",'经营参数'!$D$47/12,D116)*IF(E116="",'经营参数'!$D$44,E116)+IF(F116="",0,F116)*IF(G116="",'经营参数'!$D$45,G116)+IF(H116="",0,H116)*IF(I116="",'经营参数'!$D$46,I116),"")</f>
        <v/>
      </c>
      <c r="W116" s="70">
        <f>IF(A116="是",(IF(D116="",'经营参数'!$D$47/12,D116)+IF(F116="",0,F116)+IF(H116="",0,H116))*IF(J116="",'经营参数'!$D$20,J116),"")</f>
        <v/>
      </c>
      <c r="X116" s="70">
        <f>IF(A116="是",(IF(D116="",'经营参数'!$D$47/12,D116)+IF(F116="",0,F116)+IF(H116="",0,H116))*IF(K116="",'经营参数'!$D$22,K116)+IF(L116="",'经营参数'!$D$21/12,L116),"")</f>
        <v/>
      </c>
      <c r="Y116" s="70">
        <f>IF(A116="是",IF(M116="",(IF(D116="",'经营参数'!$D$47/12,D116)+IF(F116="",0,F116)+IF(H116="",0,H116))*'经营参数'!$D$51,M116)*IF(N116="",'经营参数'!$D$29,N116)+IF(O116="",(IF(D116="",'经营参数'!$D$47/12,D116)+IF(F116="",0,F116)+IF(H116="",0,H116))*'经营参数'!$D$52,O116)*IF(P116="",'经营参数'!$D$30,P116),"")</f>
        <v/>
      </c>
      <c r="Z116" s="70">
        <f>IF(A116="是",W116+X116+Y116+IF(Q116="",'经营参数'!$D$25/12,Q116)+IF(R116="",'经营参数'!$D$24/12,R116)+IF(S116="",0,S116),"")</f>
        <v/>
      </c>
      <c r="AA116" s="70">
        <f>IF(A116="是",MAX(0,(V116-Z116)*IF(T116="",'经营参数'!$D$26,T116)),"")</f>
        <v/>
      </c>
      <c r="AB116" s="70">
        <f>IF(A116="是",V116-Z116-AA116,"")</f>
        <v/>
      </c>
      <c r="AC116" s="70">
        <f>IF(A116="是",MAX(0,AB116*IF(U116="",'经营参数'!$D$27,U116)),"")</f>
        <v/>
      </c>
      <c r="AD116" s="70">
        <f>IF(A116="是",AB116-AC116,"")</f>
        <v/>
      </c>
      <c r="AE116" s="20" t="inlineStr">
        <is>
          <t>黄色格为空时，右侧公式使用经营参数中的基础值；启用后，游戏优先采用本行已计算的结果。</t>
        </is>
      </c>
    </row>
    <row r="117">
      <c r="A117" s="34" t="inlineStr">
        <is>
          <t>否</t>
        </is>
      </c>
      <c r="B117" s="20" t="inlineStr">
        <is>
          <t>2039-06</t>
        </is>
      </c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70">
        <f>IF(A117="是",IF(D117="",'经营参数'!$D$47/12,D117)*IF(E117="",'经营参数'!$D$44,E117)+IF(F117="",0,F117)*IF(G117="",'经营参数'!$D$45,G117)+IF(H117="",0,H117)*IF(I117="",'经营参数'!$D$46,I117),"")</f>
        <v/>
      </c>
      <c r="W117" s="70">
        <f>IF(A117="是",(IF(D117="",'经营参数'!$D$47/12,D117)+IF(F117="",0,F117)+IF(H117="",0,H117))*IF(J117="",'经营参数'!$D$20,J117),"")</f>
        <v/>
      </c>
      <c r="X117" s="70">
        <f>IF(A117="是",(IF(D117="",'经营参数'!$D$47/12,D117)+IF(F117="",0,F117)+IF(H117="",0,H117))*IF(K117="",'经营参数'!$D$22,K117)+IF(L117="",'经营参数'!$D$21/12,L117),"")</f>
        <v/>
      </c>
      <c r="Y117" s="70">
        <f>IF(A117="是",IF(M117="",(IF(D117="",'经营参数'!$D$47/12,D117)+IF(F117="",0,F117)+IF(H117="",0,H117))*'经营参数'!$D$51,M117)*IF(N117="",'经营参数'!$D$29,N117)+IF(O117="",(IF(D117="",'经营参数'!$D$47/12,D117)+IF(F117="",0,F117)+IF(H117="",0,H117))*'经营参数'!$D$52,O117)*IF(P117="",'经营参数'!$D$30,P117),"")</f>
        <v/>
      </c>
      <c r="Z117" s="70">
        <f>IF(A117="是",W117+X117+Y117+IF(Q117="",'经营参数'!$D$25/12,Q117)+IF(R117="",'经营参数'!$D$24/12,R117)+IF(S117="",0,S117),"")</f>
        <v/>
      </c>
      <c r="AA117" s="70">
        <f>IF(A117="是",MAX(0,(V117-Z117)*IF(T117="",'经营参数'!$D$26,T117)),"")</f>
        <v/>
      </c>
      <c r="AB117" s="70">
        <f>IF(A117="是",V117-Z117-AA117,"")</f>
        <v/>
      </c>
      <c r="AC117" s="70">
        <f>IF(A117="是",MAX(0,AB117*IF(U117="",'经营参数'!$D$27,U117)),"")</f>
        <v/>
      </c>
      <c r="AD117" s="70">
        <f>IF(A117="是",AB117-AC117,"")</f>
        <v/>
      </c>
      <c r="AE117" s="20" t="inlineStr">
        <is>
          <t>黄色格为空时，右侧公式使用经营参数中的基础值；启用后，游戏优先采用本行已计算的结果。</t>
        </is>
      </c>
    </row>
    <row r="118">
      <c r="A118" s="34" t="inlineStr">
        <is>
          <t>否</t>
        </is>
      </c>
      <c r="B118" s="20" t="inlineStr">
        <is>
          <t>2039-07</t>
        </is>
      </c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70">
        <f>IF(A118="是",IF(D118="",'经营参数'!$D$47/12,D118)*IF(E118="",'经营参数'!$D$44,E118)+IF(F118="",0,F118)*IF(G118="",'经营参数'!$D$45,G118)+IF(H118="",0,H118)*IF(I118="",'经营参数'!$D$46,I118),"")</f>
        <v/>
      </c>
      <c r="W118" s="70">
        <f>IF(A118="是",(IF(D118="",'经营参数'!$D$47/12,D118)+IF(F118="",0,F118)+IF(H118="",0,H118))*IF(J118="",'经营参数'!$D$20,J118),"")</f>
        <v/>
      </c>
      <c r="X118" s="70">
        <f>IF(A118="是",(IF(D118="",'经营参数'!$D$47/12,D118)+IF(F118="",0,F118)+IF(H118="",0,H118))*IF(K118="",'经营参数'!$D$22,K118)+IF(L118="",'经营参数'!$D$21/12,L118),"")</f>
        <v/>
      </c>
      <c r="Y118" s="70">
        <f>IF(A118="是",IF(M118="",(IF(D118="",'经营参数'!$D$47/12,D118)+IF(F118="",0,F118)+IF(H118="",0,H118))*'经营参数'!$D$51,M118)*IF(N118="",'经营参数'!$D$29,N118)+IF(O118="",(IF(D118="",'经营参数'!$D$47/12,D118)+IF(F118="",0,F118)+IF(H118="",0,H118))*'经营参数'!$D$52,O118)*IF(P118="",'经营参数'!$D$30,P118),"")</f>
        <v/>
      </c>
      <c r="Z118" s="70">
        <f>IF(A118="是",W118+X118+Y118+IF(Q118="",'经营参数'!$D$25/12,Q118)+IF(R118="",'经营参数'!$D$24/12,R118)+IF(S118="",0,S118),"")</f>
        <v/>
      </c>
      <c r="AA118" s="70">
        <f>IF(A118="是",MAX(0,(V118-Z118)*IF(T118="",'经营参数'!$D$26,T118)),"")</f>
        <v/>
      </c>
      <c r="AB118" s="70">
        <f>IF(A118="是",V118-Z118-AA118,"")</f>
        <v/>
      </c>
      <c r="AC118" s="70">
        <f>IF(A118="是",MAX(0,AB118*IF(U118="",'经营参数'!$D$27,U118)),"")</f>
        <v/>
      </c>
      <c r="AD118" s="70">
        <f>IF(A118="是",AB118-AC118,"")</f>
        <v/>
      </c>
      <c r="AE118" s="20" t="inlineStr">
        <is>
          <t>黄色格为空时，右侧公式使用经营参数中的基础值；启用后，游戏优先采用本行已计算的结果。</t>
        </is>
      </c>
    </row>
    <row r="119">
      <c r="A119" s="34" t="inlineStr">
        <is>
          <t>否</t>
        </is>
      </c>
      <c r="B119" s="20" t="inlineStr">
        <is>
          <t>2039-08</t>
        </is>
      </c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70">
        <f>IF(A119="是",IF(D119="",'经营参数'!$D$47/12,D119)*IF(E119="",'经营参数'!$D$44,E119)+IF(F119="",0,F119)*IF(G119="",'经营参数'!$D$45,G119)+IF(H119="",0,H119)*IF(I119="",'经营参数'!$D$46,I119),"")</f>
        <v/>
      </c>
      <c r="W119" s="70">
        <f>IF(A119="是",(IF(D119="",'经营参数'!$D$47/12,D119)+IF(F119="",0,F119)+IF(H119="",0,H119))*IF(J119="",'经营参数'!$D$20,J119),"")</f>
        <v/>
      </c>
      <c r="X119" s="70">
        <f>IF(A119="是",(IF(D119="",'经营参数'!$D$47/12,D119)+IF(F119="",0,F119)+IF(H119="",0,H119))*IF(K119="",'经营参数'!$D$22,K119)+IF(L119="",'经营参数'!$D$21/12,L119),"")</f>
        <v/>
      </c>
      <c r="Y119" s="70">
        <f>IF(A119="是",IF(M119="",(IF(D119="",'经营参数'!$D$47/12,D119)+IF(F119="",0,F119)+IF(H119="",0,H119))*'经营参数'!$D$51,M119)*IF(N119="",'经营参数'!$D$29,N119)+IF(O119="",(IF(D119="",'经营参数'!$D$47/12,D119)+IF(F119="",0,F119)+IF(H119="",0,H119))*'经营参数'!$D$52,O119)*IF(P119="",'经营参数'!$D$30,P119),"")</f>
        <v/>
      </c>
      <c r="Z119" s="70">
        <f>IF(A119="是",W119+X119+Y119+IF(Q119="",'经营参数'!$D$25/12,Q119)+IF(R119="",'经营参数'!$D$24/12,R119)+IF(S119="",0,S119),"")</f>
        <v/>
      </c>
      <c r="AA119" s="70">
        <f>IF(A119="是",MAX(0,(V119-Z119)*IF(T119="",'经营参数'!$D$26,T119)),"")</f>
        <v/>
      </c>
      <c r="AB119" s="70">
        <f>IF(A119="是",V119-Z119-AA119,"")</f>
        <v/>
      </c>
      <c r="AC119" s="70">
        <f>IF(A119="是",MAX(0,AB119*IF(U119="",'经营参数'!$D$27,U119)),"")</f>
        <v/>
      </c>
      <c r="AD119" s="70">
        <f>IF(A119="是",AB119-AC119,"")</f>
        <v/>
      </c>
      <c r="AE119" s="20" t="inlineStr">
        <is>
          <t>黄色格为空时，右侧公式使用经营参数中的基础值；启用后，游戏优先采用本行已计算的结果。</t>
        </is>
      </c>
    </row>
    <row r="120">
      <c r="A120" s="34" t="inlineStr">
        <is>
          <t>否</t>
        </is>
      </c>
      <c r="B120" s="20" t="inlineStr">
        <is>
          <t>2039-09</t>
        </is>
      </c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70">
        <f>IF(A120="是",IF(D120="",'经营参数'!$D$47/12,D120)*IF(E120="",'经营参数'!$D$44,E120)+IF(F120="",0,F120)*IF(G120="",'经营参数'!$D$45,G120)+IF(H120="",0,H120)*IF(I120="",'经营参数'!$D$46,I120),"")</f>
        <v/>
      </c>
      <c r="W120" s="70">
        <f>IF(A120="是",(IF(D120="",'经营参数'!$D$47/12,D120)+IF(F120="",0,F120)+IF(H120="",0,H120))*IF(J120="",'经营参数'!$D$20,J120),"")</f>
        <v/>
      </c>
      <c r="X120" s="70">
        <f>IF(A120="是",(IF(D120="",'经营参数'!$D$47/12,D120)+IF(F120="",0,F120)+IF(H120="",0,H120))*IF(K120="",'经营参数'!$D$22,K120)+IF(L120="",'经营参数'!$D$21/12,L120),"")</f>
        <v/>
      </c>
      <c r="Y120" s="70">
        <f>IF(A120="是",IF(M120="",(IF(D120="",'经营参数'!$D$47/12,D120)+IF(F120="",0,F120)+IF(H120="",0,H120))*'经营参数'!$D$51,M120)*IF(N120="",'经营参数'!$D$29,N120)+IF(O120="",(IF(D120="",'经营参数'!$D$47/12,D120)+IF(F120="",0,F120)+IF(H120="",0,H120))*'经营参数'!$D$52,O120)*IF(P120="",'经营参数'!$D$30,P120),"")</f>
        <v/>
      </c>
      <c r="Z120" s="70">
        <f>IF(A120="是",W120+X120+Y120+IF(Q120="",'经营参数'!$D$25/12,Q120)+IF(R120="",'经营参数'!$D$24/12,R120)+IF(S120="",0,S120),"")</f>
        <v/>
      </c>
      <c r="AA120" s="70">
        <f>IF(A120="是",MAX(0,(V120-Z120)*IF(T120="",'经营参数'!$D$26,T120)),"")</f>
        <v/>
      </c>
      <c r="AB120" s="70">
        <f>IF(A120="是",V120-Z120-AA120,"")</f>
        <v/>
      </c>
      <c r="AC120" s="70">
        <f>IF(A120="是",MAX(0,AB120*IF(U120="",'经营参数'!$D$27,U120)),"")</f>
        <v/>
      </c>
      <c r="AD120" s="70">
        <f>IF(A120="是",AB120-AC120,"")</f>
        <v/>
      </c>
      <c r="AE120" s="20" t="inlineStr">
        <is>
          <t>黄色格为空时，右侧公式使用经营参数中的基础值；启用后，游戏优先采用本行已计算的结果。</t>
        </is>
      </c>
    </row>
    <row r="121">
      <c r="A121" s="34" t="inlineStr">
        <is>
          <t>否</t>
        </is>
      </c>
      <c r="B121" s="20" t="inlineStr">
        <is>
          <t>2039-10</t>
        </is>
      </c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70">
        <f>IF(A121="是",IF(D121="",'经营参数'!$D$47/12,D121)*IF(E121="",'经营参数'!$D$44,E121)+IF(F121="",0,F121)*IF(G121="",'经营参数'!$D$45,G121)+IF(H121="",0,H121)*IF(I121="",'经营参数'!$D$46,I121),"")</f>
        <v/>
      </c>
      <c r="W121" s="70">
        <f>IF(A121="是",(IF(D121="",'经营参数'!$D$47/12,D121)+IF(F121="",0,F121)+IF(H121="",0,H121))*IF(J121="",'经营参数'!$D$20,J121),"")</f>
        <v/>
      </c>
      <c r="X121" s="70">
        <f>IF(A121="是",(IF(D121="",'经营参数'!$D$47/12,D121)+IF(F121="",0,F121)+IF(H121="",0,H121))*IF(K121="",'经营参数'!$D$22,K121)+IF(L121="",'经营参数'!$D$21/12,L121),"")</f>
        <v/>
      </c>
      <c r="Y121" s="70">
        <f>IF(A121="是",IF(M121="",(IF(D121="",'经营参数'!$D$47/12,D121)+IF(F121="",0,F121)+IF(H121="",0,H121))*'经营参数'!$D$51,M121)*IF(N121="",'经营参数'!$D$29,N121)+IF(O121="",(IF(D121="",'经营参数'!$D$47/12,D121)+IF(F121="",0,F121)+IF(H121="",0,H121))*'经营参数'!$D$52,O121)*IF(P121="",'经营参数'!$D$30,P121),"")</f>
        <v/>
      </c>
      <c r="Z121" s="70">
        <f>IF(A121="是",W121+X121+Y121+IF(Q121="",'经营参数'!$D$25/12,Q121)+IF(R121="",'经营参数'!$D$24/12,R121)+IF(S121="",0,S121),"")</f>
        <v/>
      </c>
      <c r="AA121" s="70">
        <f>IF(A121="是",MAX(0,(V121-Z121)*IF(T121="",'经营参数'!$D$26,T121)),"")</f>
        <v/>
      </c>
      <c r="AB121" s="70">
        <f>IF(A121="是",V121-Z121-AA121,"")</f>
        <v/>
      </c>
      <c r="AC121" s="70">
        <f>IF(A121="是",MAX(0,AB121*IF(U121="",'经营参数'!$D$27,U121)),"")</f>
        <v/>
      </c>
      <c r="AD121" s="70">
        <f>IF(A121="是",AB121-AC121,"")</f>
        <v/>
      </c>
      <c r="AE121" s="20" t="inlineStr">
        <is>
          <t>黄色格为空时，右侧公式使用经营参数中的基础值；启用后，游戏优先采用本行已计算的结果。</t>
        </is>
      </c>
    </row>
    <row r="122">
      <c r="A122" s="34" t="inlineStr">
        <is>
          <t>否</t>
        </is>
      </c>
      <c r="B122" s="20" t="inlineStr">
        <is>
          <t>2039-11</t>
        </is>
      </c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70">
        <f>IF(A122="是",IF(D122="",'经营参数'!$D$47/12,D122)*IF(E122="",'经营参数'!$D$44,E122)+IF(F122="",0,F122)*IF(G122="",'经营参数'!$D$45,G122)+IF(H122="",0,H122)*IF(I122="",'经营参数'!$D$46,I122),"")</f>
        <v/>
      </c>
      <c r="W122" s="70">
        <f>IF(A122="是",(IF(D122="",'经营参数'!$D$47/12,D122)+IF(F122="",0,F122)+IF(H122="",0,H122))*IF(J122="",'经营参数'!$D$20,J122),"")</f>
        <v/>
      </c>
      <c r="X122" s="70">
        <f>IF(A122="是",(IF(D122="",'经营参数'!$D$47/12,D122)+IF(F122="",0,F122)+IF(H122="",0,H122))*IF(K122="",'经营参数'!$D$22,K122)+IF(L122="",'经营参数'!$D$21/12,L122),"")</f>
        <v/>
      </c>
      <c r="Y122" s="70">
        <f>IF(A122="是",IF(M122="",(IF(D122="",'经营参数'!$D$47/12,D122)+IF(F122="",0,F122)+IF(H122="",0,H122))*'经营参数'!$D$51,M122)*IF(N122="",'经营参数'!$D$29,N122)+IF(O122="",(IF(D122="",'经营参数'!$D$47/12,D122)+IF(F122="",0,F122)+IF(H122="",0,H122))*'经营参数'!$D$52,O122)*IF(P122="",'经营参数'!$D$30,P122),"")</f>
        <v/>
      </c>
      <c r="Z122" s="70">
        <f>IF(A122="是",W122+X122+Y122+IF(Q122="",'经营参数'!$D$25/12,Q122)+IF(R122="",'经营参数'!$D$24/12,R122)+IF(S122="",0,S122),"")</f>
        <v/>
      </c>
      <c r="AA122" s="70">
        <f>IF(A122="是",MAX(0,(V122-Z122)*IF(T122="",'经营参数'!$D$26,T122)),"")</f>
        <v/>
      </c>
      <c r="AB122" s="70">
        <f>IF(A122="是",V122-Z122-AA122,"")</f>
        <v/>
      </c>
      <c r="AC122" s="70">
        <f>IF(A122="是",MAX(0,AB122*IF(U122="",'经营参数'!$D$27,U122)),"")</f>
        <v/>
      </c>
      <c r="AD122" s="70">
        <f>IF(A122="是",AB122-AC122,"")</f>
        <v/>
      </c>
      <c r="AE122" s="20" t="inlineStr">
        <is>
          <t>黄色格为空时，右侧公式使用经营参数中的基础值；启用后，游戏优先采用本行已计算的结果。</t>
        </is>
      </c>
    </row>
    <row r="123">
      <c r="A123" s="34" t="inlineStr">
        <is>
          <t>否</t>
        </is>
      </c>
      <c r="B123" s="20" t="inlineStr">
        <is>
          <t>2039-12</t>
        </is>
      </c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70">
        <f>IF(A123="是",IF(D123="",'经营参数'!$D$47/12,D123)*IF(E123="",'经营参数'!$D$44,E123)+IF(F123="",0,F123)*IF(G123="",'经营参数'!$D$45,G123)+IF(H123="",0,H123)*IF(I123="",'经营参数'!$D$46,I123),"")</f>
        <v/>
      </c>
      <c r="W123" s="70">
        <f>IF(A123="是",(IF(D123="",'经营参数'!$D$47/12,D123)+IF(F123="",0,F123)+IF(H123="",0,H123))*IF(J123="",'经营参数'!$D$20,J123),"")</f>
        <v/>
      </c>
      <c r="X123" s="70">
        <f>IF(A123="是",(IF(D123="",'经营参数'!$D$47/12,D123)+IF(F123="",0,F123)+IF(H123="",0,H123))*IF(K123="",'经营参数'!$D$22,K123)+IF(L123="",'经营参数'!$D$21/12,L123),"")</f>
        <v/>
      </c>
      <c r="Y123" s="70">
        <f>IF(A123="是",IF(M123="",(IF(D123="",'经营参数'!$D$47/12,D123)+IF(F123="",0,F123)+IF(H123="",0,H123))*'经营参数'!$D$51,M123)*IF(N123="",'经营参数'!$D$29,N123)+IF(O123="",(IF(D123="",'经营参数'!$D$47/12,D123)+IF(F123="",0,F123)+IF(H123="",0,H123))*'经营参数'!$D$52,O123)*IF(P123="",'经营参数'!$D$30,P123),"")</f>
        <v/>
      </c>
      <c r="Z123" s="70">
        <f>IF(A123="是",W123+X123+Y123+IF(Q123="",'经营参数'!$D$25/12,Q123)+IF(R123="",'经营参数'!$D$24/12,R123)+IF(S123="",0,S123),"")</f>
        <v/>
      </c>
      <c r="AA123" s="70">
        <f>IF(A123="是",MAX(0,(V123-Z123)*IF(T123="",'经营参数'!$D$26,T123)),"")</f>
        <v/>
      </c>
      <c r="AB123" s="70">
        <f>IF(A123="是",V123-Z123-AA123,"")</f>
        <v/>
      </c>
      <c r="AC123" s="70">
        <f>IF(A123="是",MAX(0,AB123*IF(U123="",'经营参数'!$D$27,U123)),"")</f>
        <v/>
      </c>
      <c r="AD123" s="70">
        <f>IF(A123="是",AB123-AC123,"")</f>
        <v/>
      </c>
      <c r="AE123" s="20" t="inlineStr">
        <is>
          <t>黄色格为空时，右侧公式使用经营参数中的基础值；启用后，游戏优先采用本行已计算的结果。</t>
        </is>
      </c>
    </row>
    <row r="124">
      <c r="A124" s="34" t="inlineStr">
        <is>
          <t>否</t>
        </is>
      </c>
      <c r="B124" s="20" t="inlineStr">
        <is>
          <t>2040-01</t>
        </is>
      </c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70">
        <f>IF(A124="是",IF(D124="",'经营参数'!$D$47/12,D124)*IF(E124="",'经营参数'!$D$44,E124)+IF(F124="",0,F124)*IF(G124="",'经营参数'!$D$45,G124)+IF(H124="",0,H124)*IF(I124="",'经营参数'!$D$46,I124),"")</f>
        <v/>
      </c>
      <c r="W124" s="70">
        <f>IF(A124="是",(IF(D124="",'经营参数'!$D$47/12,D124)+IF(F124="",0,F124)+IF(H124="",0,H124))*IF(J124="",'经营参数'!$D$20,J124),"")</f>
        <v/>
      </c>
      <c r="X124" s="70">
        <f>IF(A124="是",(IF(D124="",'经营参数'!$D$47/12,D124)+IF(F124="",0,F124)+IF(H124="",0,H124))*IF(K124="",'经营参数'!$D$22,K124)+IF(L124="",'经营参数'!$D$21/12,L124),"")</f>
        <v/>
      </c>
      <c r="Y124" s="70">
        <f>IF(A124="是",IF(M124="",(IF(D124="",'经营参数'!$D$47/12,D124)+IF(F124="",0,F124)+IF(H124="",0,H124))*'经营参数'!$D$51,M124)*IF(N124="",'经营参数'!$D$29,N124)+IF(O124="",(IF(D124="",'经营参数'!$D$47/12,D124)+IF(F124="",0,F124)+IF(H124="",0,H124))*'经营参数'!$D$52,O124)*IF(P124="",'经营参数'!$D$30,P124),"")</f>
        <v/>
      </c>
      <c r="Z124" s="70">
        <f>IF(A124="是",W124+X124+Y124+IF(Q124="",'经营参数'!$D$25/12,Q124)+IF(R124="",'经营参数'!$D$24/12,R124)+IF(S124="",0,S124),"")</f>
        <v/>
      </c>
      <c r="AA124" s="70">
        <f>IF(A124="是",MAX(0,(V124-Z124)*IF(T124="",'经营参数'!$D$26,T124)),"")</f>
        <v/>
      </c>
      <c r="AB124" s="70">
        <f>IF(A124="是",V124-Z124-AA124,"")</f>
        <v/>
      </c>
      <c r="AC124" s="70">
        <f>IF(A124="是",MAX(0,AB124*IF(U124="",'经营参数'!$D$27,U124)),"")</f>
        <v/>
      </c>
      <c r="AD124" s="70">
        <f>IF(A124="是",AB124-AC124,"")</f>
        <v/>
      </c>
      <c r="AE124" s="20" t="inlineStr">
        <is>
          <t>黄色格为空时，右侧公式使用经营参数中的基础值；启用后，游戏优先采用本行已计算的结果。</t>
        </is>
      </c>
    </row>
    <row r="125">
      <c r="A125" s="34" t="inlineStr">
        <is>
          <t>否</t>
        </is>
      </c>
      <c r="B125" s="20" t="inlineStr">
        <is>
          <t>2040-02</t>
        </is>
      </c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70">
        <f>IF(A125="是",IF(D125="",'经营参数'!$D$47/12,D125)*IF(E125="",'经营参数'!$D$44,E125)+IF(F125="",0,F125)*IF(G125="",'经营参数'!$D$45,G125)+IF(H125="",0,H125)*IF(I125="",'经营参数'!$D$46,I125),"")</f>
        <v/>
      </c>
      <c r="W125" s="70">
        <f>IF(A125="是",(IF(D125="",'经营参数'!$D$47/12,D125)+IF(F125="",0,F125)+IF(H125="",0,H125))*IF(J125="",'经营参数'!$D$20,J125),"")</f>
        <v/>
      </c>
      <c r="X125" s="70">
        <f>IF(A125="是",(IF(D125="",'经营参数'!$D$47/12,D125)+IF(F125="",0,F125)+IF(H125="",0,H125))*IF(K125="",'经营参数'!$D$22,K125)+IF(L125="",'经营参数'!$D$21/12,L125),"")</f>
        <v/>
      </c>
      <c r="Y125" s="70">
        <f>IF(A125="是",IF(M125="",(IF(D125="",'经营参数'!$D$47/12,D125)+IF(F125="",0,F125)+IF(H125="",0,H125))*'经营参数'!$D$51,M125)*IF(N125="",'经营参数'!$D$29,N125)+IF(O125="",(IF(D125="",'经营参数'!$D$47/12,D125)+IF(F125="",0,F125)+IF(H125="",0,H125))*'经营参数'!$D$52,O125)*IF(P125="",'经营参数'!$D$30,P125),"")</f>
        <v/>
      </c>
      <c r="Z125" s="70">
        <f>IF(A125="是",W125+X125+Y125+IF(Q125="",'经营参数'!$D$25/12,Q125)+IF(R125="",'经营参数'!$D$24/12,R125)+IF(S125="",0,S125),"")</f>
        <v/>
      </c>
      <c r="AA125" s="70">
        <f>IF(A125="是",MAX(0,(V125-Z125)*IF(T125="",'经营参数'!$D$26,T125)),"")</f>
        <v/>
      </c>
      <c r="AB125" s="70">
        <f>IF(A125="是",V125-Z125-AA125,"")</f>
        <v/>
      </c>
      <c r="AC125" s="70">
        <f>IF(A125="是",MAX(0,AB125*IF(U125="",'经营参数'!$D$27,U125)),"")</f>
        <v/>
      </c>
      <c r="AD125" s="70">
        <f>IF(A125="是",AB125-AC125,"")</f>
        <v/>
      </c>
      <c r="AE125" s="20" t="inlineStr">
        <is>
          <t>黄色格为空时，右侧公式使用经营参数中的基础值；启用后，游戏优先采用本行已计算的结果。</t>
        </is>
      </c>
    </row>
  </sheetData>
  <mergeCells count="2">
    <mergeCell ref="A3:AE3"/>
    <mergeCell ref="A2:AE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355C4A"/>
    <outlinePr summaryBelow="1" summaryRight="1"/>
    <pageSetUpPr/>
  </sheetPr>
  <dimension ref="A2:G2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4" customWidth="1" min="1" max="1"/>
    <col width="24" customWidth="1" min="2" max="2"/>
    <col width="58" customWidth="1" min="3" max="3"/>
    <col width="18" customWidth="1" min="4" max="4"/>
    <col width="16" customWidth="1" min="5" max="5"/>
    <col width="54" customWidth="1" min="6" max="6"/>
    <col width="20" customWidth="1" min="7" max="7"/>
  </cols>
  <sheetData>
    <row r="2">
      <c r="A2" s="1" t="inlineStr">
        <is>
          <t>公式规则</t>
        </is>
      </c>
    </row>
    <row r="3">
      <c r="A3" s="3" t="inlineStr">
        <is>
          <t>锁定的公式字典，用于说明 Excel 与新 HTML 采用的共同计算口径；黄色输入区不在本页。</t>
        </is>
      </c>
    </row>
    <row r="4">
      <c r="A4" s="41" t="n"/>
      <c r="B4" s="41" t="n"/>
      <c r="C4" s="41" t="n"/>
      <c r="D4" s="41" t="n"/>
      <c r="E4" s="41" t="n"/>
      <c r="F4" s="41" t="n"/>
      <c r="G4" s="41" t="n"/>
    </row>
    <row r="5">
      <c r="A5" s="12" t="inlineStr">
        <is>
          <t>规则ID</t>
        </is>
      </c>
      <c r="B5" s="24" t="inlineStr">
        <is>
          <t>规则名称</t>
        </is>
      </c>
      <c r="C5" s="24" t="inlineStr">
        <is>
          <t>计算表达式</t>
        </is>
      </c>
      <c r="D5" s="24" t="inlineStr">
        <is>
          <t>游戏字段</t>
        </is>
      </c>
      <c r="E5" s="24" t="inlineStr">
        <is>
          <t>单位</t>
        </is>
      </c>
      <c r="F5" s="24" t="inlineStr">
        <is>
          <t>说明</t>
        </is>
      </c>
      <c r="G5" s="13" t="inlineStr">
        <is>
          <t>公式版本</t>
        </is>
      </c>
    </row>
    <row r="6">
      <c r="A6" s="20" t="inlineStr">
        <is>
          <t>F01</t>
        </is>
      </c>
      <c r="B6" s="20" t="inlineStr">
        <is>
          <t>月度经营收入</t>
        </is>
      </c>
      <c r="C6" s="20" t="inlineStr">
        <is>
          <t>国内销量×国内单价＋大客户销量×大客户单价＋出口销量×出口单价</t>
        </is>
      </c>
      <c r="D6" s="20" t="inlineStr">
        <is>
          <t>rev</t>
        </is>
      </c>
      <c r="E6" s="20" t="inlineStr">
        <is>
          <t>万元/月</t>
        </is>
      </c>
      <c r="F6" s="20" t="inlineStr">
        <is>
          <t>启用月度行时由经营时间序列 V 列计算；未启用时由游戏按同口径动态计算</t>
        </is>
      </c>
      <c r="G6" s="20" t="inlineStr">
        <is>
          <t>GF-OPERATING-1</t>
        </is>
      </c>
    </row>
    <row r="7">
      <c r="A7" s="20" t="inlineStr">
        <is>
          <t>F02</t>
        </is>
      </c>
      <c r="B7" s="20" t="inlineStr">
        <is>
          <t>材料成本</t>
        </is>
      </c>
      <c r="C7" s="20" t="inlineStr">
        <is>
          <t>总销量×材料单位成本×项目修正系数</t>
        </is>
      </c>
      <c r="D7" s="20" t="inlineStr">
        <is>
          <t>mat</t>
        </is>
      </c>
      <c r="E7" s="20" t="inlineStr">
        <is>
          <t>万元/月</t>
        </is>
      </c>
      <c r="F7" s="20" t="inlineStr">
        <is>
          <t>材料节约项目在游戏动态经营公式中生效</t>
        </is>
      </c>
      <c r="G7" s="20" t="inlineStr">
        <is>
          <t>GF-OPERATING-1</t>
        </is>
      </c>
    </row>
    <row r="8">
      <c r="A8" s="20" t="inlineStr">
        <is>
          <t>F03</t>
        </is>
      </c>
      <c r="B8" s="20" t="inlineStr">
        <is>
          <t>人工成本</t>
        </is>
      </c>
      <c r="C8" s="20" t="inlineStr">
        <is>
          <t>固定人工÷12＋总销量×变动人工单位成本＋招聘人数×年薪÷12</t>
        </is>
      </c>
      <c r="D8" s="20" t="inlineStr">
        <is>
          <t>lab</t>
        </is>
      </c>
      <c r="E8" s="20" t="inlineStr">
        <is>
          <t>万元/月</t>
        </is>
      </c>
      <c r="F8" s="20" t="inlineStr">
        <is>
          <t>自动化与通胀修正在游戏动态经营公式中生效</t>
        </is>
      </c>
      <c r="G8" s="20" t="inlineStr">
        <is>
          <t>GF-OPERATING-1</t>
        </is>
      </c>
    </row>
    <row r="9">
      <c r="A9" s="20" t="inlineStr">
        <is>
          <t>F04</t>
        </is>
      </c>
      <c r="B9" s="20" t="inlineStr">
        <is>
          <t>能源成本</t>
        </is>
      </c>
      <c r="C9" s="20" t="inlineStr">
        <is>
          <t>购电量×电价＋用气量×气价＋绿电/绿证溢价－余电收益－储能收益</t>
        </is>
      </c>
      <c r="D9" s="20" t="inlineStr">
        <is>
          <t>eng</t>
        </is>
      </c>
      <c r="E9" s="20" t="inlineStr">
        <is>
          <t>万元/月</t>
        </is>
      </c>
      <c r="F9" s="20" t="inlineStr">
        <is>
          <t>月度覆盖表展示基础电气成本；完整项目修正由游戏动态公式计算</t>
        </is>
      </c>
      <c r="G9" s="20" t="inlineStr">
        <is>
          <t>GF-OPERATING-1</t>
        </is>
      </c>
    </row>
    <row r="10">
      <c r="A10" s="20" t="inlineStr">
        <is>
          <t>F05</t>
        </is>
      </c>
      <c r="B10" s="20" t="inlineStr">
        <is>
          <t>维护成本</t>
        </is>
      </c>
      <c r="C10" s="20" t="inlineStr">
        <is>
          <t>基础维护费÷12</t>
        </is>
      </c>
      <c r="D10" s="20" t="inlineStr">
        <is>
          <t>mnt</t>
        </is>
      </c>
      <c r="E10" s="20" t="inlineStr">
        <is>
          <t>万元/月</t>
        </is>
      </c>
      <c r="F10" s="20" t="inlineStr">
        <is>
          <t>未覆盖时由游戏动态计算</t>
        </is>
      </c>
      <c r="G10" s="20" t="inlineStr">
        <is>
          <t>GF-OPERATING-1</t>
        </is>
      </c>
    </row>
    <row r="11">
      <c r="A11" s="20" t="inlineStr">
        <is>
          <t>F06</t>
        </is>
      </c>
      <c r="B11" s="20" t="inlineStr">
        <is>
          <t>经营总成本</t>
        </is>
      </c>
      <c r="C11" s="20" t="inlineStr">
        <is>
          <t>材料＋人工＋能源＋维护＋固定经营费＋融资费</t>
        </is>
      </c>
      <c r="D11" s="20" t="inlineStr">
        <is>
          <t>cost</t>
        </is>
      </c>
      <c r="E11" s="20" t="inlineStr">
        <is>
          <t>万元/月</t>
        </is>
      </c>
      <c r="F11" s="20" t="inlineStr">
        <is>
          <t>不含项目施工支出</t>
        </is>
      </c>
      <c r="G11" s="20" t="inlineStr">
        <is>
          <t>GF-OPERATING-1</t>
        </is>
      </c>
    </row>
    <row r="12">
      <c r="A12" s="20" t="inlineStr">
        <is>
          <t>F07</t>
        </is>
      </c>
      <c r="B12" s="20" t="inlineStr">
        <is>
          <t>所得税</t>
        </is>
      </c>
      <c r="C12" s="20" t="inlineStr">
        <is>
          <t>MAX(0,(经营收入－经营总成本)×所得税率)</t>
        </is>
      </c>
      <c r="D12" s="20" t="inlineStr">
        <is>
          <t>tax</t>
        </is>
      </c>
      <c r="E12" s="20" t="inlineStr">
        <is>
          <t>万元/月</t>
        </is>
      </c>
      <c r="F12" s="20" t="inlineStr">
        <is>
          <t>亏损月份不计所得税</t>
        </is>
      </c>
      <c r="G12" s="20" t="inlineStr">
        <is>
          <t>GF-OPERATING-1</t>
        </is>
      </c>
    </row>
    <row r="13">
      <c r="A13" s="20" t="inlineStr">
        <is>
          <t>F08</t>
        </is>
      </c>
      <c r="B13" s="20" t="inlineStr">
        <is>
          <t>净利润</t>
        </is>
      </c>
      <c r="C13" s="20" t="inlineStr">
        <is>
          <t>经营收入－经营总成本－所得税</t>
        </is>
      </c>
      <c r="D13" s="20" t="inlineStr">
        <is>
          <t>net</t>
        </is>
      </c>
      <c r="E13" s="20" t="inlineStr">
        <is>
          <t>万元/月</t>
        </is>
      </c>
      <c r="F13" s="20" t="inlineStr">
        <is>
          <t>项目施工支出单列，不在本式中重复扣除</t>
        </is>
      </c>
      <c r="G13" s="20" t="inlineStr">
        <is>
          <t>GF-OPERATING-1</t>
        </is>
      </c>
    </row>
    <row r="14">
      <c r="A14" s="20" t="inlineStr">
        <is>
          <t>F09</t>
        </is>
      </c>
      <c r="B14" s="20" t="inlineStr">
        <is>
          <t>上缴集团</t>
        </is>
      </c>
      <c r="C14" s="20" t="inlineStr">
        <is>
          <t>MAX(0,净利润×上缴比例)</t>
        </is>
      </c>
      <c r="D14" s="20" t="inlineStr">
        <is>
          <t>payout</t>
        </is>
      </c>
      <c r="E14" s="20" t="inlineStr">
        <is>
          <t>万元/月</t>
        </is>
      </c>
      <c r="F14" s="20" t="inlineStr">
        <is>
          <t>亏损月份不上缴</t>
        </is>
      </c>
      <c r="G14" s="20" t="inlineStr">
        <is>
          <t>GF-OPERATING-1</t>
        </is>
      </c>
    </row>
    <row r="15">
      <c r="A15" s="20" t="inlineStr">
        <is>
          <t>F10</t>
        </is>
      </c>
      <c r="B15" s="20" t="inlineStr">
        <is>
          <t>经营现金流</t>
        </is>
      </c>
      <c r="C15" s="20" t="inlineStr">
        <is>
          <t>净利润－上缴集团</t>
        </is>
      </c>
      <c r="D15" s="20" t="inlineStr">
        <is>
          <t>keep</t>
        </is>
      </c>
      <c r="E15" s="20" t="inlineStr">
        <is>
          <t>万元/月</t>
        </is>
      </c>
      <c r="F15" s="20" t="inlineStr">
        <is>
          <t>每月计入现金；项目施工款另行扣减</t>
        </is>
      </c>
      <c r="G15" s="20" t="inlineStr">
        <is>
          <t>GF-OPERATING-1</t>
        </is>
      </c>
    </row>
    <row r="16">
      <c r="A16" s="20" t="inlineStr">
        <is>
          <t>F11</t>
        </is>
      </c>
      <c r="B16" s="20" t="inlineStr">
        <is>
          <t>项目月度施工款</t>
        </is>
      </c>
      <c r="C16" s="20" t="inlineStr">
        <is>
          <t>项目总成本÷实际完成月数</t>
        </is>
      </c>
      <c r="D16" s="20" t="inlineStr">
        <is>
          <t>projectPayment</t>
        </is>
      </c>
      <c r="E16" s="20" t="inlineStr">
        <is>
          <t>万元/月</t>
        </is>
      </c>
      <c r="F16" s="20" t="inlineStr">
        <is>
          <t>项目卡直接维护基础完成月数；招聘后按团队能力缩短</t>
        </is>
      </c>
      <c r="G16" s="20" t="inlineStr">
        <is>
          <t>GF-PROJECT-3</t>
        </is>
      </c>
    </row>
    <row r="17">
      <c r="A17" s="20" t="inlineStr">
        <is>
          <t>F12</t>
        </is>
      </c>
      <c r="B17" s="20" t="inlineStr">
        <is>
          <t>阶段数值成效</t>
        </is>
      </c>
      <c r="C17" s="20" t="inlineStr">
        <is>
          <t>完整数值成效×已施工月数÷实际完成月数</t>
        </is>
      </c>
      <c r="D17" s="20" t="inlineStr">
        <is>
          <t>projectBenefit</t>
        </is>
      </c>
      <c r="E17" s="20" t="inlineStr">
        <is>
          <t>比例</t>
        </is>
      </c>
      <c r="F17" s="20" t="inlineStr">
        <is>
          <t>按月线性项目逐月释放；资格、认证与前置解锁仍在完整完成后触发</t>
        </is>
      </c>
      <c r="G17" s="20" t="inlineStr">
        <is>
          <t>GF-PROJECT-3</t>
        </is>
      </c>
    </row>
    <row r="18">
      <c r="A18" s="20" t="inlineStr">
        <is>
          <t>F13</t>
        </is>
      </c>
      <c r="B18" s="20" t="inlineStr">
        <is>
          <t>季度日常事件条数</t>
        </is>
      </c>
      <c r="C18" s="20" t="inlineStr">
        <is>
          <t>按 0条/1条/2条 三项相对权重先抽取条数，再随机分配到不同月份</t>
        </is>
      </c>
      <c r="D18" s="20" t="inlineStr">
        <is>
          <t>dailyEventCount</t>
        </is>
      </c>
      <c r="E18" s="20" t="inlineStr">
        <is>
          <t>条/季度</t>
        </is>
      </c>
      <c r="F18" s="20" t="inlineStr">
        <is>
          <t>默认权重20:65:15，期望0.95条/季度；月份内至多一条</t>
        </is>
      </c>
      <c r="G18" s="20" t="inlineStr">
        <is>
          <t>GF-EVENT-1</t>
        </is>
      </c>
    </row>
    <row r="19">
      <c r="A19" s="20" t="inlineStr">
        <is>
          <t>F14</t>
        </is>
      </c>
      <c r="B19" s="20" t="inlineStr">
        <is>
          <t>月内日常事件选择</t>
        </is>
      </c>
      <c r="C19" s="20" t="inlineStr">
        <is>
          <t>对符合季节、天气、月份、年份和项目条件的候选项按出现权重抽取</t>
        </is>
      </c>
      <c r="D19" s="20" t="inlineStr">
        <is>
          <t>dailyEventPick</t>
        </is>
      </c>
      <c r="E19" s="20" t="inlineStr">
        <is>
          <t>事件/月</t>
        </is>
      </c>
      <c r="F19" s="20" t="inlineStr">
        <is>
          <t>日常片段只写入日志，不改变经营、压力或好感</t>
        </is>
      </c>
      <c r="G19" s="20" t="inlineStr">
        <is>
          <t>GF-EVENT-1</t>
        </is>
      </c>
    </row>
    <row r="20">
      <c r="A20" s="20" t="inlineStr">
        <is>
          <t>F15</t>
        </is>
      </c>
      <c r="B20" s="20" t="inlineStr">
        <is>
          <t>绿色信贷本金余额</t>
        </is>
      </c>
      <c r="C20" s="20" t="inlineStr">
        <is>
          <t>上月本金余额－绿色信贷本金÷(贷款年限×12)</t>
        </is>
      </c>
      <c r="D20" s="20" t="inlineStr">
        <is>
          <t>loanBalance</t>
        </is>
      </c>
      <c r="E20" s="20" t="inlineStr">
        <is>
          <t>万元</t>
        </is>
      </c>
      <c r="F20" s="20" t="inlineStr">
        <is>
          <t>有欠款时逐月减少；每月还本付息另计入融资费用</t>
        </is>
      </c>
      <c r="G20" s="20" t="inlineStr">
        <is>
          <t>GF-OPERATING-1</t>
        </is>
      </c>
    </row>
  </sheetData>
  <mergeCells count="2">
    <mergeCell ref="A3:G3"/>
    <mergeCell ref="A2:G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668873"/>
    <outlinePr summaryBelow="1" summaryRight="1"/>
    <pageSetUpPr/>
  </sheetPr>
  <dimension ref="A2:N40"/>
  <sheetViews>
    <sheetView showGridLines="0" workbookViewId="0">
      <pane xSplit="4" ySplit="5" topLeftCell="E6" activePane="bottomRight" state="frozen"/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2" customWidth="1" min="4" max="4"/>
    <col width="10" customWidth="1" min="5" max="5"/>
    <col width="24" customWidth="1" min="6" max="6"/>
    <col width="32" customWidth="1" min="7" max="7"/>
    <col width="46" customWidth="1" min="8" max="8"/>
    <col width="68" customWidth="1" min="9" max="9"/>
    <col width="38" customWidth="1" min="10" max="10"/>
    <col width="48" customWidth="1" min="11" max="11"/>
    <col width="30" customWidth="1" min="12" max="12"/>
    <col width="9" customWidth="1" min="13" max="13"/>
    <col width="38" customWidth="1" min="14" max="14"/>
  </cols>
  <sheetData>
    <row r="2">
      <c r="A2" s="1" t="inlineStr">
        <is>
          <t>CG配置</t>
        </is>
      </c>
    </row>
    <row r="3">
      <c r="A3" s="3" t="inlineStr">
        <is>
          <t>填写说明：A—E列为触发结构；F—N列为可编辑内容。完整文案、触发条件和CG图片文件名均由本页统一管理；图片放入 cg/images/ 后运行管理员更新工具。</t>
        </is>
      </c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</row>
    <row r="5" ht="30" customHeight="1">
      <c r="A5" s="42" t="inlineStr">
        <is>
          <t>CG_ID</t>
        </is>
      </c>
      <c r="B5" s="43" t="inlineStr">
        <is>
          <t>分类</t>
        </is>
      </c>
      <c r="C5" s="43" t="inlineStr">
        <is>
          <t>人物ID</t>
        </is>
      </c>
      <c r="D5" s="43" t="inlineStr">
        <is>
          <t>人物名称</t>
        </is>
      </c>
      <c r="E5" s="43" t="inlineStr">
        <is>
          <t>解锁阈值</t>
        </is>
      </c>
      <c r="F5" s="43" t="inlineStr">
        <is>
          <t>CG标题</t>
        </is>
      </c>
      <c r="G5" s="43" t="inlineStr">
        <is>
          <t>触发条件</t>
        </is>
      </c>
      <c r="H5" s="43" t="inlineStr">
        <is>
          <t>画面说明</t>
        </is>
      </c>
      <c r="I5" s="44" t="inlineStr">
        <is>
          <t>剧情正文</t>
        </is>
      </c>
      <c r="J5" s="49" t="inlineStr">
        <is>
          <t>图鉴文字</t>
        </is>
      </c>
      <c r="K5" s="49" t="inlineStr">
        <is>
          <t>分支替换文案</t>
        </is>
      </c>
      <c r="L5" s="49" t="inlineStr">
        <is>
          <t>图片文件名</t>
        </is>
      </c>
      <c r="M5" s="49" t="inlineStr">
        <is>
          <t>启用</t>
        </is>
      </c>
      <c r="N5" s="49" t="inlineStr">
        <is>
          <t>素材备注</t>
        </is>
      </c>
    </row>
    <row r="6" ht="72" customHeight="1">
      <c r="A6" s="57" t="inlineStr">
        <is>
          <t>S01</t>
        </is>
      </c>
      <c r="B6" s="57" t="inlineStr">
        <is>
          <t>序章</t>
        </is>
      </c>
      <c r="C6" s="57" t="str"/>
      <c r="D6" s="57" t="str"/>
      <c r="E6" s="57" t="n">
        <v>0</v>
      </c>
      <c r="F6" s="55" t="inlineStr">
        <is>
          <t>上任第一天</t>
        </is>
      </c>
      <c r="G6" s="55" t="inlineStr">
        <is>
          <t>首次开始新游戏</t>
        </is>
      </c>
      <c r="H6" s="55" t="inlineStr">
        <is>
          <t>2030年的工业园区、集团办公室与传统制造工厂依次出现，最后切换至厂长办公室。</t>
        </is>
      </c>
      <c r="I6" s="55" t="inlineStr">
        <is>
          <t>2030年。
这一年，中国迎来了碳达峰目标的重要时间节点。
从节能降碳到资源循环，从生产工艺到产品全生命周期，绿色转型正逐渐成为制造业竞争的重要议题。
越来越多的客户开始关注供应商的环境表现。企业不仅要把产品做好，还要回答一个新的问题：
工厂如何在经营发展的同时，走上低碳转型之路？
但对于许多传统制造企业来说，改变并没有那么容易。
2030年1月。
你今年32岁，在制造业工作了近十年。
今天，你收到集团的一份任命书。
从现在开始，你就是这座工厂的新任厂长。
过去，你只需要做好自己负责的工作。
而现在，生产、订单、成本、人员，以及工厂未来的发展，都需要你来决定。
这是一座经营了多年的传统制造工厂。
订单还算稳定，也有一些利润。但设备逐渐老化，能源和原材料成本不断上涨，能够用于改造的资金并不宽裕。
更重要的是，外面的世界正在变化。
客户开始提出新的绿色采购要求，同行陆续开展节能降碳改造，集团希望工厂继续增长，却又不愿承担过高的投资风险。
是优先扩大生产，还是更新设备？是先改善利润，还是提前布局绿色转型？
未来十年，这座工厂会变成什么样子？
2030年1月。
你的第一天，开始了。
【开始经营】</t>
        </is>
      </c>
      <c r="J6" s="56" t="inlineStr">
        <is>
          <t>十年的经营，从上任第一天开始。</t>
        </is>
      </c>
      <c r="K6" s="56" t="str"/>
      <c r="L6" s="56" t="inlineStr">
        <is>
          <t>S01_上任第一天.png</t>
        </is>
      </c>
      <c r="M6" s="56" t="inlineStr">
        <is>
          <t>是</t>
        </is>
      </c>
      <c r="N6" s="56" t="inlineStr">
        <is>
          <t>序章可使用多张分镜；当前图片文件名为首张CG占位。图片暂未制作。</t>
        </is>
      </c>
    </row>
    <row r="7" ht="72" customHeight="1">
      <c r="A7" s="57" t="inlineStr">
        <is>
          <t>A01</t>
        </is>
      </c>
      <c r="B7" s="57" t="inlineStr">
        <is>
          <t>人物关系</t>
        </is>
      </c>
      <c r="C7" s="57" t="inlineStr">
        <is>
          <t>chen_engineer</t>
        </is>
      </c>
      <c r="D7" s="57" t="inlineStr">
        <is>
          <t>陈工</t>
        </is>
      </c>
      <c r="E7" s="57" t="n">
        <v>60</v>
      </c>
      <c r="F7" s="55" t="inlineStr">
        <is>
          <t>陈工：画到一半的图</t>
        </is>
      </c>
      <c r="G7" s="55" t="inlineStr">
        <is>
          <t>陈工达到第一阶段好感度。</t>
        </is>
      </c>
      <c r="H7" s="55" t="inlineStr">
        <is>
          <t>傍晚的技术办公室，桌上摊着工程图纸，陈工正用铅笔在纸上修改细节。夕阳照在散落的尺子和笔记本上。</t>
        </is>
      </c>
      <c r="I7" s="55" t="inlineStr">
        <is>
          <t>你来技术办公室找陈工，发现桌上放着一本画满了草图的旧笔记本。有设备结构，也有厂房、树木和办公室窗外的景色。
“都是等设备跑数据的时候随手画的。”陈工有点不好意思地把本子合上。
你这才知道，原来陈工除了喜欢研究机器，还挺喜欢画画。</t>
        </is>
      </c>
      <c r="J7" s="56" t="inlineStr">
        <is>
          <t>有些人眼中的工厂，不只有机器和图纸。</t>
        </is>
      </c>
      <c r="K7" s="56" t="str"/>
      <c r="L7" s="56" t="inlineStr">
        <is>
          <t>A01_陈工_画到一半的图.png</t>
        </is>
      </c>
      <c r="M7" s="56" t="inlineStr">
        <is>
          <t>是</t>
        </is>
      </c>
      <c r="N7" s="56" t="inlineStr">
        <is>
          <t>图片暂未制作；完成后放入 cg/images/，文件名与本行一致。</t>
        </is>
      </c>
    </row>
    <row r="8" ht="72" customHeight="1">
      <c r="A8" s="57" t="inlineStr">
        <is>
          <t>A02</t>
        </is>
      </c>
      <c r="B8" s="57" t="inlineStr">
        <is>
          <t>人物关系</t>
        </is>
      </c>
      <c r="C8" s="57" t="inlineStr">
        <is>
          <t>chen_engineer</t>
        </is>
      </c>
      <c r="D8" s="57" t="inlineStr">
        <is>
          <t>陈工</t>
        </is>
      </c>
      <c r="E8" s="57" t="n">
        <v>100</v>
      </c>
      <c r="F8" s="55" t="inlineStr">
        <is>
          <t>陈工：没画完的那一页</t>
        </is>
      </c>
      <c r="G8" s="55" t="inlineStr">
        <is>
          <t>陈工达到第二阶段好感度，且已经解锁A01。</t>
        </is>
      </c>
      <c r="H8" s="55" t="inlineStr">
        <is>
          <t>陈工和厂长站在办公室窗前，桌上摆着一本翻开的画册。画册记录了不同年份的工厂景象。</t>
        </is>
      </c>
      <c r="I8" s="55" t="inlineStr">
        <is>
          <t>陈工把那本旧笔记本拿给你看，里面多了许多这几年画下的厂区景色。
你从第一页翻到最后一页，发现办公楼前的树长高了，仓库换过屋顶，就连门卫室的样子也有些不同。
最后一页只画了一半。
“还没画完呢。”陈工笑了笑，“以后还会变的，留点地方。”</t>
        </is>
      </c>
      <c r="J8" s="56" t="inlineStr">
        <is>
          <t>故事还没画完，工厂也一样。</t>
        </is>
      </c>
      <c r="K8" s="56" t="str"/>
      <c r="L8" s="56" t="inlineStr">
        <is>
          <t>A02_陈工_没画完的那一页.png</t>
        </is>
      </c>
      <c r="M8" s="56" t="inlineStr">
        <is>
          <t>是</t>
        </is>
      </c>
      <c r="N8" s="56" t="inlineStr">
        <is>
          <t>图片暂未制作；完成后放入 cg/images/，文件名与本行一致。</t>
        </is>
      </c>
    </row>
    <row r="9" ht="72" customHeight="1">
      <c r="A9" s="57" t="inlineStr">
        <is>
          <t>A03</t>
        </is>
      </c>
      <c r="B9" s="57" t="inlineStr">
        <is>
          <t>人物关系</t>
        </is>
      </c>
      <c r="C9" s="57" t="inlineStr">
        <is>
          <t>liu_master</t>
        </is>
      </c>
      <c r="D9" s="57" t="inlineStr">
        <is>
          <t>刘师傅</t>
        </is>
      </c>
      <c r="E9" s="57" t="n">
        <v>60</v>
      </c>
      <c r="F9" s="55" t="inlineStr">
        <is>
          <t>刘师傅：窗台上的橘子</t>
        </is>
      </c>
      <c r="G9" s="55" t="inlineStr">
        <is>
          <t>刘师傅达到第一阶段好感度。</t>
        </is>
      </c>
      <c r="H9" s="55" t="inlineStr">
        <is>
          <t>车间休息室，午后的阳光落在窗台上，两个人坐在旧桌旁剥橘子，桌上放着保温杯。</t>
        </is>
      </c>
      <c r="I9" s="55" t="inlineStr">
        <is>
          <t>你路过休息室时，刘师傅招呼你坐下，从袋子里拿出两个橘子。
“家里买多了，帮忙解决一下。”
你们聊了一会儿设备、天气，还有厂区附近那家新开的面馆。
快离开时，刘师傅又往你手里塞了一个：“这个也带着，别浪费。”</t>
        </is>
      </c>
      <c r="J9" s="56" t="inlineStr">
        <is>
          <t>有些关心，不过是顺手多拿了一个橘子。</t>
        </is>
      </c>
      <c r="K9" s="56" t="str"/>
      <c r="L9" s="56" t="inlineStr">
        <is>
          <t>A03_刘师傅_窗台上的橘子.png</t>
        </is>
      </c>
      <c r="M9" s="56" t="inlineStr">
        <is>
          <t>是</t>
        </is>
      </c>
      <c r="N9" s="56" t="inlineStr">
        <is>
          <t>图片暂未制作；完成后放入 cg/images/，文件名与本行一致。</t>
        </is>
      </c>
    </row>
    <row r="10" ht="72" customHeight="1">
      <c r="A10" s="57" t="inlineStr">
        <is>
          <t>A04</t>
        </is>
      </c>
      <c r="B10" s="57" t="inlineStr">
        <is>
          <t>人物关系</t>
        </is>
      </c>
      <c r="C10" s="57" t="inlineStr">
        <is>
          <t>liu_master</t>
        </is>
      </c>
      <c r="D10" s="57" t="inlineStr">
        <is>
          <t>刘师傅</t>
        </is>
      </c>
      <c r="E10" s="57" t="n">
        <v>100</v>
      </c>
      <c r="F10" s="55" t="inlineStr">
        <is>
          <t>刘师傅：照片背面</t>
        </is>
      </c>
      <c r="G10" s="55" t="inlineStr">
        <is>
          <t>刘师傅达到第二阶段好感度，且已经解锁A03。</t>
        </is>
      </c>
      <c r="H10" s="55" t="inlineStr">
        <is>
          <t>刘师傅在休息室拿着一张旧合照，照片里是年轻时的员工们。厂长坐在一旁，桌面上摊着几张不同年代的照片。</t>
        </is>
      </c>
      <c r="I10" s="55" t="inlineStr">
        <is>
          <t>刘师傅翻出一张许多年前的车间合照，让你猜哪个是年轻时的自己。
你猜了三次都没猜对，他笑得连眼角都皱了起来。
照片背面写着日期，还有几个人的名字。
“有的人早就不在这儿干了。”刘师傅用手指轻轻压平照片的一角，“不过那时候的事，现在想起来还是挺清楚的。”</t>
        </is>
      </c>
      <c r="J10" s="56" t="inlineStr">
        <is>
          <t>照片会慢慢泛黄，记忆却总能找到回来的路。</t>
        </is>
      </c>
      <c r="K10" s="56" t="str"/>
      <c r="L10" s="56" t="inlineStr">
        <is>
          <t>A04_刘师傅_照片背面.png</t>
        </is>
      </c>
      <c r="M10" s="56" t="inlineStr">
        <is>
          <t>是</t>
        </is>
      </c>
      <c r="N10" s="56" t="inlineStr">
        <is>
          <t>图片暂未制作；完成后放入 cg/images/，文件名与本行一致。</t>
        </is>
      </c>
    </row>
    <row r="11" ht="72" customHeight="1">
      <c r="A11" s="57" t="inlineStr">
        <is>
          <t>A05</t>
        </is>
      </c>
      <c r="B11" s="57" t="inlineStr">
        <is>
          <t>人物关系</t>
        </is>
      </c>
      <c r="C11" s="57" t="inlineStr">
        <is>
          <t>lin_manager</t>
        </is>
      </c>
      <c r="D11" s="57" t="inlineStr">
        <is>
          <t>林经理</t>
        </is>
      </c>
      <c r="E11" s="57" t="n">
        <v>60</v>
      </c>
      <c r="F11" s="55" t="inlineStr">
        <is>
          <t>林经理：不在报表上的数字</t>
        </is>
      </c>
      <c r="G11" s="55" t="inlineStr">
        <is>
          <t>林经理达到第一阶段好感度。</t>
        </is>
      </c>
      <c r="H11" s="55" t="inlineStr">
        <is>
          <t>傍晚的财务办公室，电脑屏幕已经熄灭，林经理正用便利贴折一只小小的纸鹤，旁边放着计算器和半杯水。</t>
        </is>
      </c>
      <c r="I11" s="55" t="inlineStr">
        <is>
          <t>你发现林经理办公桌的一角摆着几只用废便签纸折成的小纸鹤。
她说，每次遇到特别难处理的账，就会在休息时折一只，换换脑子。
你数了数桌上的纸鹤，问她是不是最近工作特别辛苦。
“也没有。”她停顿了一下，“有些是以前留下来的。”</t>
        </is>
      </c>
      <c r="J11" s="56" t="inlineStr">
        <is>
          <t>报表之外，也有一些不需要计算的事情。</t>
        </is>
      </c>
      <c r="K11" s="56" t="str"/>
      <c r="L11" s="56" t="inlineStr">
        <is>
          <t>A05_林经理_不在报表上的数字.png</t>
        </is>
      </c>
      <c r="M11" s="56" t="inlineStr">
        <is>
          <t>是</t>
        </is>
      </c>
      <c r="N11" s="56" t="inlineStr">
        <is>
          <t>图片暂未制作；完成后放入 cg/images/，文件名与本行一致。</t>
        </is>
      </c>
    </row>
    <row r="12" ht="72" customHeight="1">
      <c r="A12" s="57" t="inlineStr">
        <is>
          <t>A06</t>
        </is>
      </c>
      <c r="B12" s="57" t="inlineStr">
        <is>
          <t>人物关系</t>
        </is>
      </c>
      <c r="C12" s="57" t="inlineStr">
        <is>
          <t>lin_manager</t>
        </is>
      </c>
      <c r="D12" s="57" t="inlineStr">
        <is>
          <t>林经理</t>
        </is>
      </c>
      <c r="E12" s="57" t="n">
        <v>100</v>
      </c>
      <c r="F12" s="55" t="inlineStr">
        <is>
          <t>林经理：难得不算账</t>
        </is>
      </c>
      <c r="G12" s="55" t="inlineStr">
        <is>
          <t>林经理达到第二阶段好感度，且已经解锁A05。</t>
        </is>
      </c>
      <c r="H12" s="55" t="inlineStr">
        <is>
          <t>周末的城市公园，林经理穿着休闲服坐在长椅上，手里拿着一本书。厂长在旁边，远处有人遛狗、散步。</t>
        </is>
      </c>
      <c r="I12" s="55" t="inlineStr">
        <is>
          <t>周末，你在公园里偶遇了林经理。没有电脑，没有报表，她正坐在长椅上看书。
你开玩笑问她，是不是连周末出来玩也要算一算时间成本。
她合上书，认真想了两秒：“今天不算。”
你们在公园里坐了一会儿，聊了许多与工厂无关的事。</t>
        </is>
      </c>
      <c r="J12" s="56" t="inlineStr">
        <is>
          <t>偶尔不必计算得失，也是生活的一部分。</t>
        </is>
      </c>
      <c r="K12" s="56" t="str"/>
      <c r="L12" s="56" t="inlineStr">
        <is>
          <t>A06_林经理_难得不算账.png</t>
        </is>
      </c>
      <c r="M12" s="56" t="inlineStr">
        <is>
          <t>是</t>
        </is>
      </c>
      <c r="N12" s="56" t="inlineStr">
        <is>
          <t>图片暂未制作；完成后放入 cg/images/，文件名与本行一致。</t>
        </is>
      </c>
    </row>
    <row r="13" ht="72" customHeight="1">
      <c r="A13" s="57" t="inlineStr">
        <is>
          <t>A07</t>
        </is>
      </c>
      <c r="B13" s="57" t="inlineStr">
        <is>
          <t>人物关系</t>
        </is>
      </c>
      <c r="C13" s="57" t="inlineStr">
        <is>
          <t>shao_director</t>
        </is>
      </c>
      <c r="D13" s="57" t="inlineStr">
        <is>
          <t>邵总监</t>
        </is>
      </c>
      <c r="E13" s="57" t="n">
        <v>60</v>
      </c>
      <c r="F13" s="55" t="inlineStr">
        <is>
          <t>邵总监：没带公文包的人</t>
        </is>
      </c>
      <c r="G13" s="55" t="inlineStr">
        <is>
          <t>邵总监达到第一阶段好感度。</t>
        </is>
      </c>
      <c r="H13" s="55" t="inlineStr">
        <is>
          <t>普通书店的一角，邵总监穿着休闲外套，站在书架前翻书。厂长刚好从另一侧书架经过。</t>
        </is>
      </c>
      <c r="I13" s="55" t="inlineStr">
        <is>
          <t>你在书店里意外碰见了邵总监。
平时总是西装笔挺、带着公文包的他，今天穿了一件普通夹克，手里拿着一本旧版的小说。
你们一时都有些不习惯在工作场合之外见到对方。
“别愣着了。”他笑着说，“今天不用叫我邵总监。”</t>
        </is>
      </c>
      <c r="J13" s="56" t="inlineStr">
        <is>
          <t>离开会议室以后，每个人也有自己的生活。</t>
        </is>
      </c>
      <c r="K13" s="56" t="str"/>
      <c r="L13" s="56" t="inlineStr">
        <is>
          <t>A07_邵总监_没带公文包的人.png</t>
        </is>
      </c>
      <c r="M13" s="56" t="inlineStr">
        <is>
          <t>是</t>
        </is>
      </c>
      <c r="N13" s="56" t="inlineStr">
        <is>
          <t>图片暂未制作；完成后放入 cg/images/，文件名与本行一致。</t>
        </is>
      </c>
    </row>
    <row r="14" ht="72" customHeight="1">
      <c r="A14" s="57" t="inlineStr">
        <is>
          <t>A08</t>
        </is>
      </c>
      <c r="B14" s="57" t="inlineStr">
        <is>
          <t>人物关系</t>
        </is>
      </c>
      <c r="C14" s="57" t="inlineStr">
        <is>
          <t>shao_director</t>
        </is>
      </c>
      <c r="D14" s="57" t="inlineStr">
        <is>
          <t>邵总监</t>
        </is>
      </c>
      <c r="E14" s="57" t="n">
        <v>100</v>
      </c>
      <c r="F14" s="55" t="inlineStr">
        <is>
          <t>邵总监：那张旧名片</t>
        </is>
      </c>
      <c r="G14" s="55" t="inlineStr">
        <is>
          <t>邵总监达到第二阶段好感度，且已经解锁A07。</t>
        </is>
      </c>
      <c r="H14" s="55" t="inlineStr">
        <is>
          <t>安静的咖啡馆，桌上放着一张磨旧的名片。窗外行人经过，两人坐在窗边聊天。</t>
        </is>
      </c>
      <c r="I14" s="55" t="inlineStr">
        <is>
          <t>邵总监从钱包里拿出一张很旧的名片，上面的职位和现在完全不同。
他说，那是自己刚开始负责工厂业务时印的，后来换了好几次岗位，却一直没舍得扔。
“那时候也不知道自己能干多久。”他把名片翻过来，又收回钱包里。
你忽然发现，原来那些看起来经验丰富的人，也都曾经是第一次担任某个职位。</t>
        </is>
      </c>
      <c r="J14" s="56" t="inlineStr">
        <is>
          <t>所谓经验，不过是许多个第一次留下来的痕迹。</t>
        </is>
      </c>
      <c r="K14" s="56" t="str"/>
      <c r="L14" s="56" t="inlineStr">
        <is>
          <t>A08_邵总监_那张旧名片.png</t>
        </is>
      </c>
      <c r="M14" s="56" t="inlineStr">
        <is>
          <t>是</t>
        </is>
      </c>
      <c r="N14" s="56" t="inlineStr">
        <is>
          <t>图片暂未制作；完成后放入 cg/images/，文件名与本行一致。</t>
        </is>
      </c>
    </row>
    <row r="15" ht="72" customHeight="1">
      <c r="A15" s="57" t="inlineStr">
        <is>
          <t>A09</t>
        </is>
      </c>
      <c r="B15" s="57" t="inlineStr">
        <is>
          <t>人物关系</t>
        </is>
      </c>
      <c r="C15" s="57" t="inlineStr">
        <is>
          <t>qi_supervisor</t>
        </is>
      </c>
      <c r="D15" s="57" t="inlineStr">
        <is>
          <t>祁主管</t>
        </is>
      </c>
      <c r="E15" s="57" t="n">
        <v>60</v>
      </c>
      <c r="F15" s="55" t="inlineStr">
        <is>
          <t>祁主管：通话结束之后</t>
        </is>
      </c>
      <c r="G15" s="55" t="inlineStr">
        <is>
          <t>祁主管达到第一阶段好感度。</t>
        </is>
      </c>
      <c r="H15" s="55" t="inlineStr">
        <is>
          <t>办公楼走廊尽头，祁主管坐在窗边台阶上，手机放在旁边，窗外是傍晚的工业园区。</t>
        </is>
      </c>
      <c r="I15" s="55" t="inlineStr">
        <is>
          <t>你看见祁主管一个人坐在走廊尽头，难得没有打电话。
他刚和客户结束一场漫长的沟通，正望着窗外发呆。
“别担心，我没事。”看见你过来，他笑着摆摆手，“就是想享受一下手机不响的这五分钟。”
你坐下来陪了他一会儿，谁也没有提工作的事。</t>
        </is>
      </c>
      <c r="J15" s="56" t="inlineStr">
        <is>
          <t>有时候，最好的陪伴是一起安静五分钟。</t>
        </is>
      </c>
      <c r="K15" s="56" t="str"/>
      <c r="L15" s="56" t="inlineStr">
        <is>
          <t>A09_祁主管_通话结束之后.png</t>
        </is>
      </c>
      <c r="M15" s="56" t="inlineStr">
        <is>
          <t>是</t>
        </is>
      </c>
      <c r="N15" s="56" t="inlineStr">
        <is>
          <t>图片暂未制作；完成后放入 cg/images/，文件名与本行一致。</t>
        </is>
      </c>
    </row>
    <row r="16" ht="72" customHeight="1">
      <c r="A16" s="58" t="inlineStr">
        <is>
          <t>A10</t>
        </is>
      </c>
      <c r="B16" s="58" t="inlineStr">
        <is>
          <t>人物关系</t>
        </is>
      </c>
      <c r="C16" s="58" t="inlineStr">
        <is>
          <t>qi_supervisor</t>
        </is>
      </c>
      <c r="D16" s="58" t="inlineStr">
        <is>
          <t>祁主管</t>
        </is>
      </c>
      <c r="E16" s="58" t="n">
        <v>100</v>
      </c>
      <c r="F16" s="56" t="inlineStr">
        <is>
          <t>祁主管：没有目的地的周末</t>
        </is>
      </c>
      <c r="G16" s="56" t="inlineStr">
        <is>
          <t>祁主管达到第二阶段好感度，且已经解锁A09。</t>
        </is>
      </c>
      <c r="H16" s="56" t="inlineStr">
        <is>
          <t>郊外的普通公路旁，祁主管背着相机，厂长站在旁边。远处是田野和树木，天空明亮。</t>
        </is>
      </c>
      <c r="I16" s="56" t="inlineStr">
        <is>
          <t>祁主管邀请你去郊外走走，说自己难得有个不用赶行程的周末。
一路上，他拍了很多照片：路边的老房子、田里的稻草堆，还有一只在树荫下睡觉的猫。
你问他为什么突然喜欢拍这些。
“平时到处跑，总觉得每个地方都待不够久。”他看了看相机里的照片，“今天不用赶下一站，挺好的。”</t>
        </is>
      </c>
      <c r="J16" s="56" t="inlineStr">
        <is>
          <t>不是每一次出发，都需要一个目的地。</t>
        </is>
      </c>
      <c r="K16" s="56" t="inlineStr">
        <is>
          <t>B组｜绿色工厂建设CG</t>
        </is>
      </c>
      <c r="L16" s="56" t="inlineStr">
        <is>
          <t>A10_祁主管_没有目的地的周末.png</t>
        </is>
      </c>
      <c r="M16" s="56" t="inlineStr">
        <is>
          <t>是</t>
        </is>
      </c>
      <c r="N16" s="56" t="inlineStr">
        <is>
          <t>图片暂未制作；完成后放入 cg/images/，文件名与本行一致。</t>
        </is>
      </c>
    </row>
    <row r="17" ht="72" customHeight="1">
      <c r="A17" s="58" t="inlineStr">
        <is>
          <t>B01</t>
        </is>
      </c>
      <c r="B17" s="58" t="inlineStr">
        <is>
          <t>绿色建设</t>
        </is>
      </c>
      <c r="C17" s="58" t="str"/>
      <c r="D17" s="58" t="str"/>
      <c r="E17" s="58" t="n">
        <v>0</v>
      </c>
      <c r="F17" s="56" t="inlineStr">
        <is>
          <t>灯亮起来了</t>
        </is>
      </c>
      <c r="G17" s="56" t="inlineStr">
        <is>
          <t>完成车间照明节能改造。</t>
        </is>
      </c>
      <c r="H17" s="56" t="inlineStr">
        <is>
          <t>改造后的车间内部，新照明设备均匀照亮工作区域，员工正在正常作业。厂长站在车间通道上观察。</t>
        </is>
      </c>
      <c r="I17" s="56" t="inlineStr">
        <is>
          <t>车间的照明改造终于完成了。
你沿着生产线走了一圈，发现原先有些昏暗的角落现在也能看清了。几位员工正在新灯下检查产品，似乎还不太习惯这样的变化。
“比以前亮堂多了。”有人抬头看了看灯，又继续手里的工作。</t>
        </is>
      </c>
      <c r="J17" s="56" t="inlineStr">
        <is>
          <t>改变有时候很简单，不过是让灯亮得更合适一些。</t>
        </is>
      </c>
      <c r="K17" s="56" t="str"/>
      <c r="L17" s="56" t="inlineStr">
        <is>
          <t>B01_灯亮起来了.png</t>
        </is>
      </c>
      <c r="M17" s="56" t="inlineStr">
        <is>
          <t>是</t>
        </is>
      </c>
      <c r="N17" s="56" t="inlineStr">
        <is>
          <t>图片暂未制作；完成后放入 cg/images/，文件名与本行一致。</t>
        </is>
      </c>
    </row>
    <row r="18" ht="72" customHeight="1">
      <c r="A18" s="58" t="inlineStr">
        <is>
          <t>B02</t>
        </is>
      </c>
      <c r="B18" s="58" t="inlineStr">
        <is>
          <t>绿色建设</t>
        </is>
      </c>
      <c r="C18" s="58" t="str"/>
      <c r="D18" s="58" t="str"/>
      <c r="E18" s="58" t="n">
        <v>0</v>
      </c>
      <c r="F18" s="56" t="inlineStr">
        <is>
          <t>第一次读懂曲线</t>
        </is>
      </c>
      <c r="G18" s="56" t="inlineStr">
        <is>
          <t>建立能源分项计量和监测系统，并完成首轮有效数据分析。</t>
        </is>
      </c>
      <c r="H18" s="56" t="inlineStr">
        <is>
          <t>办公室内，电脑显示着不同车间的用能曲线。厂长和陈工站在屏幕前，桌边放着手写记录和旧数据表。</t>
        </is>
      </c>
      <c r="I18" s="56" t="inlineStr">
        <is>
          <t>新的能源监测系统运行了一段时间，终于积累了足够的数据。
屏幕上的曲线有高有低，有些符合预期，也有几处让人摸不着头脑。
陈工把过去的记录摊在桌上，开始逐一比对。
你第一次感觉到，那些过去只能从电费账单上看到的消耗，终于有了更清楚的模样。</t>
        </is>
      </c>
      <c r="J18" s="56" t="inlineStr">
        <is>
          <t>看见问题，往往是改变问题的第一步。</t>
        </is>
      </c>
      <c r="K18" s="56" t="str"/>
      <c r="L18" s="56" t="inlineStr">
        <is>
          <t>B02_第一次读懂曲线.png</t>
        </is>
      </c>
      <c r="M18" s="56" t="inlineStr">
        <is>
          <t>是</t>
        </is>
      </c>
      <c r="N18" s="56" t="inlineStr">
        <is>
          <t>图片暂未制作；完成后放入 cg/images/，文件名与本行一致。</t>
        </is>
      </c>
    </row>
    <row r="19" ht="72" customHeight="1">
      <c r="A19" s="58" t="inlineStr">
        <is>
          <t>B03</t>
        </is>
      </c>
      <c r="B19" s="58" t="inlineStr">
        <is>
          <t>绿色建设</t>
        </is>
      </c>
      <c r="C19" s="58" t="str"/>
      <c r="D19" s="58" t="str"/>
      <c r="E19" s="58" t="n">
        <v>0</v>
      </c>
      <c r="F19" s="56" t="inlineStr">
        <is>
          <t>水的回程</t>
        </is>
      </c>
      <c r="G19" s="56" t="inlineStr">
        <is>
          <t>完成符合工厂工艺要求的生产用水循环利用项目。</t>
        </is>
      </c>
      <c r="H19" s="56" t="inlineStr">
        <is>
          <t>设备间里，循环水管道、储水设施和水处理设备整齐排列。维护人员正在查看仪表，厂长站在一旁。</t>
        </is>
      </c>
      <c r="I19" s="56" t="inlineStr">
        <is>
          <t>新的循环用水设施正式投入运行了。
你跟着工作人员走过设备间，听对方讲解水经过处理后，如何重新回到适用的生产环节。
那些过去看不见的用水过程，如今有了一条条可以追踪的管道和记录。
走出设备间时，你发现地上还留着安装设备时画下的标线。</t>
        </is>
      </c>
      <c r="J19" s="56" t="inlineStr">
        <is>
          <t>有些水的旅程，并不需要在使用一次后就结束。</t>
        </is>
      </c>
      <c r="K19" s="56" t="str"/>
      <c r="L19" s="56" t="inlineStr">
        <is>
          <t>B03_水的回程.png</t>
        </is>
      </c>
      <c r="M19" s="56" t="inlineStr">
        <is>
          <t>是</t>
        </is>
      </c>
      <c r="N19" s="56" t="inlineStr">
        <is>
          <t>图片暂未制作；完成后放入 cg/images/，文件名与本行一致。</t>
        </is>
      </c>
    </row>
    <row r="20" ht="72" customHeight="1">
      <c r="A20" s="58" t="inlineStr">
        <is>
          <t>B04</t>
        </is>
      </c>
      <c r="B20" s="58" t="inlineStr">
        <is>
          <t>绿色建设</t>
        </is>
      </c>
      <c r="C20" s="58" t="str"/>
      <c r="D20" s="58" t="str"/>
      <c r="E20" s="58" t="n">
        <v>0</v>
      </c>
      <c r="F20" s="56" t="inlineStr">
        <is>
          <t>屋顶上的阳光</t>
        </is>
      </c>
      <c r="G20" s="56" t="inlineStr">
        <is>
          <t>屋顶光伏项目完成并正常投入运行。</t>
        </is>
      </c>
      <c r="H20" s="56" t="inlineStr">
        <is>
          <t>从安全的厂区高处望去，阳光落在厂房屋顶排列整齐的光伏组件上。远处仍是普通的工业园区。</t>
        </is>
      </c>
      <c r="I20" s="56" t="inlineStr">
        <is>
          <t>屋顶光伏系统通过验收，开始正式运行。
你站在可以俯瞰厂房的位置，看着阳光落在一排排深蓝色组件上。厂房里依旧传来熟悉的生产声音，一切似乎和平时没什么不同。
只是从今天起，这些过去只能遮风挡雨的屋顶，也开始承担新的工作了。</t>
        </is>
      </c>
      <c r="J20" s="56" t="inlineStr">
        <is>
          <t>同样一片阳光，有了新的用处。</t>
        </is>
      </c>
      <c r="K20" s="56" t="str"/>
      <c r="L20" s="56" t="inlineStr">
        <is>
          <t>B04_屋顶上的阳光.png</t>
        </is>
      </c>
      <c r="M20" s="56" t="inlineStr">
        <is>
          <t>是</t>
        </is>
      </c>
      <c r="N20" s="56" t="inlineStr">
        <is>
          <t>图片暂未制作；完成后放入 cg/images/，文件名与本行一致。</t>
        </is>
      </c>
    </row>
    <row r="21" ht="72" customHeight="1">
      <c r="A21" s="58" t="inlineStr">
        <is>
          <t>B05</t>
        </is>
      </c>
      <c r="B21" s="58" t="inlineStr">
        <is>
          <t>绿色建设</t>
        </is>
      </c>
      <c r="C21" s="58" t="str"/>
      <c r="D21" s="58" t="str"/>
      <c r="E21" s="58" t="n">
        <v>0</v>
      </c>
      <c r="F21" s="56" t="inlineStr">
        <is>
          <t>腾出来的地方</t>
        </is>
      </c>
      <c r="G21" s="56" t="inlineStr">
        <is>
          <t>完成厂区空间优化及物料、废弃物分类周转设施改造。</t>
        </is>
      </c>
      <c r="H21" s="56" t="inlineStr">
        <is>
          <t>整理后的仓储周转区域，货架和物料摆放有序，不同类别的物料及废弃物有清晰标识，原先拥挤的通道恢复宽敞。</t>
        </is>
      </c>
      <c r="I21" s="56" t="inlineStr">
        <is>
          <t>仓储与物料周转区域的改造终于结束了。
你沿着新规划的通道走过去，发现原来堆满杂物的一角，现在已经可以顺畅通行。
仓库负责人拿着新旧两张平面图比划了半天，最后指着其中一处笑了笑。
“早知道可以这样安排，当初就不用绕那么远了。”</t>
        </is>
      </c>
      <c r="J21" s="56" t="inlineStr">
        <is>
          <t>未必需要更多地方，有时候只是需要重新安排。</t>
        </is>
      </c>
      <c r="K21" s="56" t="str"/>
      <c r="L21" s="56" t="inlineStr">
        <is>
          <t>B05_腾出来的地方.png</t>
        </is>
      </c>
      <c r="M21" s="56" t="inlineStr">
        <is>
          <t>是</t>
        </is>
      </c>
      <c r="N21" s="56" t="inlineStr">
        <is>
          <t>图片暂未制作；完成后放入 cg/images/，文件名与本行一致。</t>
        </is>
      </c>
    </row>
    <row r="22" ht="72" customHeight="1">
      <c r="A22" s="58" t="inlineStr">
        <is>
          <t>B06</t>
        </is>
      </c>
      <c r="B22" s="58" t="inlineStr">
        <is>
          <t>绿色建设</t>
        </is>
      </c>
      <c r="C22" s="58" t="str"/>
      <c r="D22" s="58" t="str"/>
      <c r="E22" s="58" t="n">
        <v>0</v>
      </c>
      <c r="F22" s="56" t="inlineStr">
        <is>
          <t>产品的另一张图纸</t>
        </is>
      </c>
      <c r="G22" s="56" t="inlineStr">
        <is>
          <t>完成一项经过验证、不降低必要性能与质量要求的产品绿色设计改进。</t>
        </is>
      </c>
      <c r="H22" s="56" t="inlineStr">
        <is>
          <t>研发办公室里，两版产品结构图并排放在工作台上，旁边是新旧样品和测试记录。厂长与研发人员正在查看细节。</t>
        </is>
      </c>
      <c r="I22" s="56" t="inlineStr">
        <is>
          <t>新版产品完成了最后一轮验证。
它看起来和之前的产品没有太大不同，但部分材料、结构和制造方式已经悄悄发生了变化。
研发人员把新旧两份图纸摊开，指给你看那些调整过的细节。
你意识到，绿色改造不一定只发生在生产线上，有时也从一张图纸开始。</t>
        </is>
      </c>
      <c r="J22" s="56" t="inlineStr">
        <is>
          <t>让产品变得更好，也可以从重新设计它开始。</t>
        </is>
      </c>
      <c r="K22" s="56" t="str"/>
      <c r="L22" s="56" t="inlineStr">
        <is>
          <t>B06_产品的另一张图纸.png</t>
        </is>
      </c>
      <c r="M22" s="56" t="inlineStr">
        <is>
          <t>是</t>
        </is>
      </c>
      <c r="N22" s="56" t="inlineStr">
        <is>
          <t>图片暂未制作；完成后放入 cg/images/，文件名与本行一致。</t>
        </is>
      </c>
    </row>
    <row r="23" ht="72" customHeight="1">
      <c r="A23" s="58" t="inlineStr">
        <is>
          <t>B07</t>
        </is>
      </c>
      <c r="B23" s="58" t="inlineStr">
        <is>
          <t>绿色建设</t>
        </is>
      </c>
      <c r="C23" s="58" t="str"/>
      <c r="D23" s="58" t="str"/>
      <c r="E23" s="58" t="n">
        <v>0</v>
      </c>
      <c r="F23" s="56" t="inlineStr">
        <is>
          <t>从高处看这座工厂</t>
        </is>
      </c>
      <c r="G23" s="56" t="inlineStr">
        <is>
          <t>工厂在能源、资源、生产、产品和厂区管理等方面达到较高的综合绿色发展水平。</t>
        </is>
      </c>
      <c r="H23" s="56" t="inlineStr">
        <is>
          <t>从高处俯瞰已经历多年改造的工厂。可以辨认出不同阶段建设的设施、更新后的厂房、清晰的物流通道，以及仍在正常运转的生产线。</t>
        </is>
      </c>
      <c r="I23" s="56" t="inlineStr">
        <is>
          <t>今天，你有机会从一个平时很少经过的角度俯瞰整座工厂。
新的设备、重新规划的厂区、改造过的屋顶，还有那些已经习以为常的变化，都安静地出现在眼前。
你试着回忆自己刚来时这里的样子，发现有些细节已经记不太清了。
这座工厂仍然需要解决新的问题，但它确实和从前不一样了。</t>
        </is>
      </c>
      <c r="J23" s="56" t="inlineStr">
        <is>
          <t>改变不是一夜之间发生的，却能在某一天被清楚地看见。</t>
        </is>
      </c>
      <c r="K23" s="56" t="inlineStr">
        <is>
          <t>C组｜生产经营CG</t>
        </is>
      </c>
      <c r="L23" s="56" t="inlineStr">
        <is>
          <t>B07_从高处看这座工厂.png</t>
        </is>
      </c>
      <c r="M23" s="56" t="inlineStr">
        <is>
          <t>是</t>
        </is>
      </c>
      <c r="N23" s="56" t="inlineStr">
        <is>
          <t>图片暂未制作；完成后放入 cg/images/，文件名与本行一致。</t>
        </is>
      </c>
    </row>
    <row r="24" ht="72" customHeight="1">
      <c r="A24" s="58" t="inlineStr">
        <is>
          <t>C01</t>
        </is>
      </c>
      <c r="B24" s="58" t="inlineStr">
        <is>
          <t>生产经营</t>
        </is>
      </c>
      <c r="C24" s="58" t="str"/>
      <c r="D24" s="58" t="str"/>
      <c r="E24" s="58" t="n">
        <v>0</v>
      </c>
      <c r="F24" s="56" t="inlineStr">
        <is>
          <t>第一份计划</t>
        </is>
      </c>
      <c r="G24" s="56" t="inlineStr">
        <is>
          <t>玩家首次确认2030年的经营计划。</t>
        </is>
      </c>
      <c r="H24" s="56" t="inlineStr">
        <is>
          <t>厂长办公室，桌上摊着年度经营计划、几份资料和一支签字笔。厂长坐在办公桌前，窗外是正在运转的工厂。</t>
        </is>
      </c>
      <c r="I24" s="56" t="inlineStr">
        <is>
          <t>你终于完成了上任后的第一份年度经营计划。
纸上写着今年准备做的事情，有些已经考虑得很清楚，有些还需要走一步看一步。
你又检查了一遍，确认没有遗漏，才把文件放到桌面最显眼的位置。
明天，这些写在纸上的计划，就要一点点变成现实了。</t>
        </is>
      </c>
      <c r="J24" s="56" t="inlineStr">
        <is>
          <t>十年的经营，从这张纸开始。</t>
        </is>
      </c>
      <c r="K24" s="56" t="str"/>
      <c r="L24" s="56" t="inlineStr">
        <is>
          <t>C01_第一份计划.png</t>
        </is>
      </c>
      <c r="M24" s="56" t="inlineStr">
        <is>
          <t>是</t>
        </is>
      </c>
      <c r="N24" s="56" t="inlineStr">
        <is>
          <t>图片暂未制作；完成后放入 cg/images/，文件名与本行一致。</t>
        </is>
      </c>
    </row>
    <row r="25" ht="72" customHeight="1">
      <c r="A25" s="58" t="inlineStr">
        <is>
          <t>C02</t>
        </is>
      </c>
      <c r="B25" s="58" t="inlineStr">
        <is>
          <t>生产经营</t>
        </is>
      </c>
      <c r="C25" s="58" t="str"/>
      <c r="D25" s="58" t="str"/>
      <c r="E25" s="58" t="n">
        <v>0</v>
      </c>
      <c r="F25" s="56" t="inlineStr">
        <is>
          <t>第一年的最后一天</t>
        </is>
      </c>
      <c r="G25" s="56" t="inlineStr">
        <is>
          <t>玩家完成2030年全部12个月的经营，首次进入年度结束结算。</t>
        </is>
      </c>
      <c r="H25" s="56" t="inlineStr">
        <is>
          <t>冬日傍晚的厂长办公室，夕阳落在办公桌上，桌边放着2030年的日历。厂长站在窗边，看着仍在运转的工厂。</t>
        </is>
      </c>
      <c r="I25" s="56" t="inlineStr">
        <is>
          <t>这一年的最后一个工作月终于结束了。
你翻看着年初制定的计划，有些事情顺利完成，有些比想象中困难，还有一些不得不留到明年。
窗外，工厂依旧和往常一样忙碌。
你把旧日历合上，忽然发现，自己已经在这里当了一整年的厂长。</t>
        </is>
      </c>
      <c r="J25" s="56" t="inlineStr">
        <is>
          <t>原来一年的时间，真的可以发生这么多事。</t>
        </is>
      </c>
      <c r="K25" s="56" t="str"/>
      <c r="L25" s="56" t="inlineStr">
        <is>
          <t>C02_第一年的最后一天.png</t>
        </is>
      </c>
      <c r="M25" s="56" t="inlineStr">
        <is>
          <t>是</t>
        </is>
      </c>
      <c r="N25" s="56" t="inlineStr">
        <is>
          <t>图片暂未制作；完成后放入 cg/images/，文件名与本行一致。</t>
        </is>
      </c>
    </row>
    <row r="26" ht="72" customHeight="1">
      <c r="A26" s="58" t="inlineStr">
        <is>
          <t>C03</t>
        </is>
      </c>
      <c r="B26" s="58" t="inlineStr">
        <is>
          <t>生产经营</t>
        </is>
      </c>
      <c r="C26" s="58" t="str"/>
      <c r="D26" s="58" t="str"/>
      <c r="E26" s="58" t="n">
        <v>0</v>
      </c>
      <c r="F26" s="56" t="inlineStr">
        <is>
          <t>报表上的红字</t>
        </is>
      </c>
      <c r="G26" s="56" t="inlineStr">
        <is>
          <t>首次出现年度经营亏损。</t>
        </is>
      </c>
      <c r="H26" s="56" t="inlineStr">
        <is>
          <t>夜晚的厂长办公室，办公桌上摊着年度经营报表，几项数字被红笔圈了起来。厂长独自坐在桌前，神情凝重。</t>
        </is>
      </c>
      <c r="I26" s="56" t="inlineStr">
        <is>
          <t>今年的经营结果并不理想。
你重新看了一遍报表，确认自己没有看错那些数字。收入、成本、投入，每一项都有来由，但放在一起，结果还是让人有些难以接受。
办公室安静了很久。
最后，你拿起笔，在新的一页纸上写下明年需要重新考虑的事情。</t>
        </is>
      </c>
      <c r="J26" s="56" t="inlineStr">
        <is>
          <t>不是每一年的努力，都会换来满意的结果。</t>
        </is>
      </c>
      <c r="K26" s="56" t="str"/>
      <c r="L26" s="56" t="inlineStr">
        <is>
          <t>C03_报表上的红字.png</t>
        </is>
      </c>
      <c r="M26" s="56" t="inlineStr">
        <is>
          <t>是</t>
        </is>
      </c>
      <c r="N26" s="56" t="inlineStr">
        <is>
          <t>图片暂未制作；完成后放入 cg/images/，文件名与本行一致。</t>
        </is>
      </c>
    </row>
    <row r="27" ht="72" customHeight="1">
      <c r="A27" s="58" t="inlineStr">
        <is>
          <t>C04</t>
        </is>
      </c>
      <c r="B27" s="58" t="inlineStr">
        <is>
          <t>生产经营</t>
        </is>
      </c>
      <c r="C27" s="58" t="str"/>
      <c r="D27" s="58" t="str"/>
      <c r="E27" s="58" t="n">
        <v>0</v>
      </c>
      <c r="F27" s="56" t="inlineStr">
        <is>
          <t>还剩多少钱</t>
        </is>
      </c>
      <c r="G27" s="56" t="inlineStr">
        <is>
          <t>可用资金首次进入预设的资金紧张区间。</t>
        </is>
      </c>
      <c r="H27" s="56" t="inlineStr">
        <is>
          <t>午后的办公室，厂长拿着资金情况表，桌边放着计算器和几份尚待安排的年度计划资料。窗外阳光很好，室内却显得格外安静。</t>
        </is>
      </c>
      <c r="I27" s="56" t="inlineStr">
        <is>
          <t>你看着最新的可用资金数字，开始重新盘算接下来的安排。
原本想做的事情还有不少，但钱显然不能同时花在所有地方。
你把计划翻到第一页，又从头看了一遍。
有些决定并不是不想做，只是眼下还需要再等等。</t>
        </is>
      </c>
      <c r="J27" s="56" t="inlineStr">
        <is>
          <t>当钱不够用的时候，每一种选择都变得具体起来。</t>
        </is>
      </c>
      <c r="K27" s="56" t="str"/>
      <c r="L27" s="56" t="inlineStr">
        <is>
          <t>C04_还剩多少钱.png</t>
        </is>
      </c>
      <c r="M27" s="56" t="inlineStr">
        <is>
          <t>是</t>
        </is>
      </c>
      <c r="N27" s="56" t="inlineStr">
        <is>
          <t>图片暂未制作；完成后放入 cg/images/，文件名与本行一致。</t>
        </is>
      </c>
    </row>
    <row r="28" ht="72" customHeight="1">
      <c r="A28" s="58" t="inlineStr">
        <is>
          <t>C05</t>
        </is>
      </c>
      <c r="B28" s="58" t="inlineStr">
        <is>
          <t>生产经营</t>
        </is>
      </c>
      <c r="C28" s="58" t="str"/>
      <c r="D28" s="58" t="str"/>
      <c r="E28" s="58" t="n">
        <v>0</v>
      </c>
      <c r="F28" s="56" t="inlineStr">
        <is>
          <t>今天先到这里</t>
        </is>
      </c>
      <c r="G28" s="56" t="inlineStr">
        <is>
          <t>厂长压力首次达到预设的较高水平。</t>
        </is>
      </c>
      <c r="H28" s="56" t="inlineStr">
        <is>
          <t>深夜的厂长办公室，台灯照着桌上的资料，窗外厂区大部分区域已经熄灯。厂长靠在椅背上，揉着眉心，桌上放着一杯已经凉掉的水。</t>
        </is>
      </c>
      <c r="I28" s="56" t="inlineStr">
        <is>
          <t>你发现自己已经盯着同一页文件看了很久。
这一阵子要考虑的事情实在太多，连平时很容易做出的决定，现在也要反复想上好几遍。
你合上文件，伸手关掉台灯。
剩下的事，明天再说吧。</t>
        </is>
      </c>
      <c r="J28" s="56" t="inlineStr">
        <is>
          <t>厂长也不是一台可以一直运转的机器。</t>
        </is>
      </c>
      <c r="K28" s="56" t="str"/>
      <c r="L28" s="56" t="inlineStr">
        <is>
          <t>C05_今天先到这里.png</t>
        </is>
      </c>
      <c r="M28" s="56" t="inlineStr">
        <is>
          <t>是</t>
        </is>
      </c>
      <c r="N28" s="56" t="inlineStr">
        <is>
          <t>图片暂未制作；完成后放入 cg/images/，文件名与本行一致。</t>
        </is>
      </c>
    </row>
    <row r="29" ht="72" customHeight="1">
      <c r="A29" s="58" t="inlineStr">
        <is>
          <t>C06</t>
        </is>
      </c>
      <c r="B29" s="58" t="inlineStr">
        <is>
          <t>生产经营</t>
        </is>
      </c>
      <c r="C29" s="58" t="str"/>
      <c r="D29" s="58" t="str"/>
      <c r="E29" s="58" t="n">
        <v>0</v>
      </c>
      <c r="F29" s="56" t="inlineStr">
        <is>
          <t>终于转正的数字</t>
        </is>
      </c>
      <c r="G29" s="56" t="inlineStr">
        <is>
          <t>上一年度经营亏损，本年度经营重新实现盈利。</t>
        </is>
      </c>
      <c r="H29" s="56" t="inlineStr">
        <is>
          <t>明亮的办公室，厂长坐在桌前查看年度经营报表，阳光透过窗户照进来。报表上的经营结果已经由负转正。</t>
        </is>
      </c>
      <c r="I29" s="56" t="inlineStr">
        <is>
          <t>你看到今年的经营结果时，忍不住又核对了一遍。
那些曾经让人头疼的数字，终于重新回到了正数。
这并不意味着所有问题都解决了。下一年依旧有很多需要考虑的事情，但至少此前做过的调整，有了一份看得见的结果。
你把报表放回文件夹，心情比昨天轻松了不少。</t>
        </is>
      </c>
      <c r="J29" s="56" t="inlineStr">
        <is>
          <t>有些好消息，需要等很久才能等到。</t>
        </is>
      </c>
      <c r="K29" s="56" t="str"/>
      <c r="L29" s="56" t="inlineStr">
        <is>
          <t>C06_终于转正的数字.png</t>
        </is>
      </c>
      <c r="M29" s="56" t="inlineStr">
        <is>
          <t>是</t>
        </is>
      </c>
      <c r="N29" s="56" t="inlineStr">
        <is>
          <t>图片暂未制作；完成后放入 cg/images/，文件名与本行一致。</t>
        </is>
      </c>
    </row>
    <row r="30" ht="72" customHeight="1">
      <c r="A30" s="58" t="inlineStr">
        <is>
          <t>C07</t>
        </is>
      </c>
      <c r="B30" s="58" t="inlineStr">
        <is>
          <t>生产经营</t>
        </is>
      </c>
      <c r="C30" s="58" t="str"/>
      <c r="D30" s="58" t="str"/>
      <c r="E30" s="58" t="n">
        <v>0</v>
      </c>
      <c r="F30" s="56" t="inlineStr">
        <is>
          <t>平稳的三年</t>
        </is>
      </c>
      <c r="G30" s="56" t="inlineStr">
        <is>
          <t>工厂连续三个完整经营年度实现盈利，首次达成时触发。</t>
        </is>
      </c>
      <c r="H30" s="56" t="inlineStr">
        <is>
          <t>厂长办公室的桌面上，三份不同年份的年度经营总结依次摆放。窗外阳光明亮，厂长正在整理文件，神情平静。</t>
        </is>
      </c>
      <c r="I30" s="56" t="inlineStr">
        <is>
          <t>整理文件时，你把最近三年的经营总结放在了一起。
这三年里，并不是每个月都顺利。成本有过波动，计划也调整过许多次。
但至少到每年结束时，工厂都交出了一份盈利的成绩单。
你把三份文件整齐地放进柜子里，忽然觉得，能够一直稳稳地经营下去，也是一件不容易的事。</t>
        </is>
      </c>
      <c r="J30" s="56" t="inlineStr">
        <is>
          <t>比起偶尔的一次成功，平稳地走下去也需要本事。</t>
        </is>
      </c>
      <c r="K30" s="56" t="str"/>
      <c r="L30" s="56" t="inlineStr">
        <is>
          <t>C07_平稳的三年.png</t>
        </is>
      </c>
      <c r="M30" s="56" t="inlineStr">
        <is>
          <t>是</t>
        </is>
      </c>
      <c r="N30" s="56" t="inlineStr">
        <is>
          <t>图片暂未制作；完成后放入 cg/images/，文件名与本行一致。</t>
        </is>
      </c>
    </row>
    <row r="31" ht="72" customHeight="1">
      <c r="A31" s="58" t="inlineStr">
        <is>
          <t>C08</t>
        </is>
      </c>
      <c r="B31" s="58" t="inlineStr">
        <is>
          <t>生产经营</t>
        </is>
      </c>
      <c r="C31" s="58" t="str"/>
      <c r="D31" s="58" t="str"/>
      <c r="E31" s="58" t="n">
        <v>0</v>
      </c>
      <c r="F31" s="56" t="inlineStr">
        <is>
          <t>已经五年了</t>
        </is>
      </c>
      <c r="G31" s="56" t="inlineStr">
        <is>
          <t>完成2034年12月的经营，正式度过前五个经营年度。</t>
        </is>
      </c>
      <c r="H31" s="56" t="inlineStr">
        <is>
          <t>与《上任第一天》相近的办公室构图。厂长站在窗前，办公桌上放着2030年和2034年的文件，窗外是经营五年后的工厂。</t>
        </is>
      </c>
      <c r="I31" s="56" t="inlineStr">
        <is>
          <t>今天整理旧文件时，你翻出了2030年刚上任时制定的第一份年度计划。
那时你刚坐进这间办公室，对许多事情还没有把握。
如今五年过去，有些当年的计划已经完成，有些改变了方向，还有些问题仍然需要继续面对。
你望向窗外，试着回忆自己第一次走进这间办公室时的心情。
五年好像很长，又好像只是一转眼。</t>
        </is>
      </c>
      <c r="J31" s="56" t="inlineStr">
        <is>
          <t>走到一半时，才发现自己已经走了很远。</t>
        </is>
      </c>
      <c r="K31" s="56" t="inlineStr">
        <is>
          <t>2040年结局CG</t>
        </is>
      </c>
      <c r="L31" s="56" t="inlineStr">
        <is>
          <t>C08_已经五年了.png</t>
        </is>
      </c>
      <c r="M31" s="56" t="inlineStr">
        <is>
          <t>是</t>
        </is>
      </c>
      <c r="N31" s="56" t="inlineStr">
        <is>
          <t>图片暂未制作；完成后放入 cg/images/，文件名与本行一致。</t>
        </is>
      </c>
    </row>
    <row r="32" ht="72" customHeight="1">
      <c r="A32" s="58" t="inlineStr">
        <is>
          <t>E01</t>
        </is>
      </c>
      <c r="B32" s="58" t="inlineStr">
        <is>
          <t>2040结局</t>
        </is>
      </c>
      <c r="C32" s="58" t="str"/>
      <c r="D32" s="58" t="str"/>
      <c r="E32" s="58" t="n">
        <v>0</v>
      </c>
      <c r="F32" s="56" t="inlineStr">
        <is>
          <t>第十年的春天</t>
        </is>
      </c>
      <c r="G32" s="56" t="inlineStr">
        <is>
          <t>经营表现优秀，绿色表现优秀。</t>
        </is>
      </c>
      <c r="H32" s="56" t="inlineStr">
        <is>
          <t>2040年春天，厂长站在办公室窗前。窗外的厂区经过多年改造，仍然是一座普通的制造工厂，但比十年前更加整洁、完善。门卫室旁的花正在开放。</t>
        </is>
      </c>
      <c r="I32" s="56" t="inlineStr">
        <is>
          <t>2040年春天，厂门口的花又开了。
你翻看着过去十年的经营记录。工厂的利润比刚来时好了许多，能源、资源和生产方式也有了实实在在的改善。
这十年并不是每一步都走得顺利。有过犹豫，有过资金紧张，也有些项目比预想中花了更长时间。
但最终，那些当初一点点做出的决定，都在今天留下了痕迹。
窗外，工人们正陆续走进车间。一切都和平时一样。
你忽然想起，十年前第一次来到这里时，也是这样的一个早晨。</t>
        </is>
      </c>
      <c r="J32" s="56" t="inlineStr">
        <is>
          <t>十年后，花照常开放，而这座工厂已经有了新的模样。</t>
        </is>
      </c>
      <c r="K32" s="56" t="str"/>
      <c r="L32" s="56" t="inlineStr">
        <is>
          <t>E01_第十年的春天.png</t>
        </is>
      </c>
      <c r="M32" s="56" t="inlineStr">
        <is>
          <t>是</t>
        </is>
      </c>
      <c r="N32" s="56" t="inlineStr">
        <is>
          <t>图片暂未制作；完成后放入 cg/images/，文件名与本行一致。</t>
        </is>
      </c>
    </row>
    <row r="33" ht="72" customHeight="1">
      <c r="A33" s="58" t="inlineStr">
        <is>
          <t>E02</t>
        </is>
      </c>
      <c r="B33" s="58" t="inlineStr">
        <is>
          <t>2040结局</t>
        </is>
      </c>
      <c r="C33" s="58" t="str"/>
      <c r="D33" s="58" t="str"/>
      <c r="E33" s="58" t="n">
        <v>0</v>
      </c>
      <c r="F33" s="56" t="inlineStr">
        <is>
          <t>留下来的改变</t>
        </is>
      </c>
      <c r="G33" s="56" t="inlineStr">
        <is>
          <t>绿色表现优秀，但经营表现未达到优秀水平；未进入严重资金危机结局。</t>
        </is>
      </c>
      <c r="H33" s="56" t="inlineStr">
        <is>
          <t>厂长站在改造后的厂区，身边是这些年陆续更新的设备和设施。天气晴朗，但厂区并不繁华，整体仍显得朴素。</t>
        </is>
      </c>
      <c r="I33" s="56" t="inlineStr">
        <is>
          <t>十年过去，这座工厂没有成为集团里最赚钱的那一家。
一些年份的经营成绩还不错，另一些年份却过得很紧张。为了筹措资金，你不止一次重新调整过投资计划。
好在许多绿色改造最终还是完成了。
如今，工厂的能源利用效率、资源管理和生产条件都比从前有了明显改善。那些曾经需要反复解释的改造项目，也已经成了日常生产的一部分。
只是经营上的难题并没有全部解决。
你望着眼前的厂区，知道这十年的努力并没有白费，也知道接下来还有不少事情要做。</t>
        </is>
      </c>
      <c r="J33" s="56" t="inlineStr">
        <is>
          <t>有些投入还没有得到理想的回报，但改变已经留了下来。</t>
        </is>
      </c>
      <c r="K33" s="56" t="str"/>
      <c r="L33" s="56" t="inlineStr">
        <is>
          <t>E02_留下来的改变.png</t>
        </is>
      </c>
      <c r="M33" s="56" t="inlineStr">
        <is>
          <t>是</t>
        </is>
      </c>
      <c r="N33" s="56" t="inlineStr">
        <is>
          <t>图片暂未制作；完成后放入 cg/images/，文件名与本行一致。</t>
        </is>
      </c>
    </row>
    <row r="34" ht="72" customHeight="1">
      <c r="A34" s="58" t="inlineStr">
        <is>
          <t>E03</t>
        </is>
      </c>
      <c r="B34" s="58" t="inlineStr">
        <is>
          <t>2040结局</t>
        </is>
      </c>
      <c r="C34" s="58" t="str"/>
      <c r="D34" s="58" t="str"/>
      <c r="E34" s="58" t="n">
        <v>0</v>
      </c>
      <c r="F34" s="56" t="inlineStr">
        <is>
          <t>两张成绩单</t>
        </is>
      </c>
      <c r="G34" s="56" t="inlineStr">
        <is>
          <t>经营表现优秀，绿色表现中等。</t>
        </is>
      </c>
      <c r="H34" s="56" t="inlineStr">
        <is>
          <t>厂长办公室的桌面上，一边是经营报表，另一边是绿色工厂评价记录。窗外部分设备和建筑已经更新，仍有一些地方保留着过去的样子。</t>
        </is>
      </c>
      <c r="I34" s="56" t="inlineStr">
        <is>
          <t>2040年的经营报告令人满意。
利润增长了，账上的资金也更加充裕。至少从经营成绩来看，你把这座工厂管理得不错。
这些年，工厂也做过不少绿色改造。有的项目已经产生了效果，有的还没有达到最初的预期。
你把十年的经营报表和绿色绩效记录放在一起。
两份成绩单都有进步，只是进步的幅度并不一样。
你重新翻开了那份尚未完成的改造计划，在最后一页补上了今天的日期。</t>
        </is>
      </c>
      <c r="J34" s="56" t="inlineStr">
        <is>
          <t>把生意做好了，也开始改变工厂，只是故事还没有写完。</t>
        </is>
      </c>
      <c r="K34" s="56" t="str"/>
      <c r="L34" s="56" t="inlineStr">
        <is>
          <t>E03_两张成绩单.png</t>
        </is>
      </c>
      <c r="M34" s="56" t="inlineStr">
        <is>
          <t>是</t>
        </is>
      </c>
      <c r="N34" s="56" t="inlineStr">
        <is>
          <t>图片暂未制作；完成后放入 cg/images/，文件名与本行一致。</t>
        </is>
      </c>
    </row>
    <row r="35" ht="72" customHeight="1">
      <c r="A35" s="58" t="inlineStr">
        <is>
          <t>E04</t>
        </is>
      </c>
      <c r="B35" s="58" t="inlineStr">
        <is>
          <t>2040结局</t>
        </is>
      </c>
      <c r="C35" s="58" t="str"/>
      <c r="D35" s="58" t="str"/>
      <c r="E35" s="58" t="n">
        <v>0</v>
      </c>
      <c r="F35" s="56" t="inlineStr">
        <is>
          <t>漂亮的报表</t>
        </is>
      </c>
      <c r="G35" s="56" t="inlineStr">
        <is>
          <t>经营表现优秀，绿色表现较弱。</t>
        </is>
      </c>
      <c r="H35" s="56" t="inlineStr">
        <is>
          <t>桌上整齐摆放着十年的经营报表，窗外的工厂繁忙而略显老旧。角落里放着几份多年前的绿色改造方案。</t>
        </is>
      </c>
      <c r="I35" s="56" t="inlineStr">
        <is>
          <t>2040年的年度经营报告出来了。
利润不错，账上的资金也很充裕。从财务数字来看，你确实把这座工厂经营得很好。
只是当你翻到绿色绩效那一页时，才发现它与十年前相比并没有太大的变化。
这些年，你做过很多选择，也抓住了不少经营机会。至于那些节能、节水和生产改造项目，总有更紧急的事情排在前面。
如今的工厂仍然忙碌，设备每天照常运转。
你把两份报告收进同一个文件夹，心里却很清楚，它们讲述的是两种不太一样的十年。</t>
        </is>
      </c>
      <c r="J35" s="56" t="inlineStr">
        <is>
          <t>这是一份漂亮的成绩单，只是有些题目始终没有回答。</t>
        </is>
      </c>
      <c r="K35" s="56" t="str"/>
      <c r="L35" s="56" t="inlineStr">
        <is>
          <t>E04_漂亮的报表.png</t>
        </is>
      </c>
      <c r="M35" s="56" t="inlineStr">
        <is>
          <t>是</t>
        </is>
      </c>
      <c r="N35" s="56" t="inlineStr">
        <is>
          <t>图片暂未制作；完成后放入 cg/images/，文件名与本行一致。</t>
        </is>
      </c>
    </row>
    <row r="36" ht="72" customHeight="1">
      <c r="A36" s="58" t="inlineStr">
        <is>
          <t>E05</t>
        </is>
      </c>
      <c r="B36" s="58" t="inlineStr">
        <is>
          <t>2040结局</t>
        </is>
      </c>
      <c r="C36" s="58" t="str"/>
      <c r="D36" s="58" t="str"/>
      <c r="E36" s="58" t="n">
        <v>0</v>
      </c>
      <c r="F36" s="56" t="inlineStr">
        <is>
          <t>照常开门</t>
        </is>
      </c>
      <c r="G36" s="56" t="inlineStr">
        <is>
          <t>经营表现平稳，绿色表现中等。</t>
        </is>
      </c>
      <c r="H36" s="56" t="inlineStr">
        <is>
          <t>2040年一个普通的早晨。厂长站在办公室窗前，门卫室的灯刚刚熄灭，工人陆续进入厂区，车间准备开始新一天的生产。</t>
        </is>
      </c>
      <c r="I36" s="56" t="inlineStr">
        <is>
          <t>2040年，工厂照常开门。
过去十年，没有发生什么足以让人津津乐道的大事。
经营有起有伏，绿色改造也陆续做了一些。部分设备已经换过，几个困扰多年的问题终于得到改善，但还有不少事情没来得及完成。
你曾经期待过，这座工厂会不会在自己手里发生翻天覆地的变化。
现在回头看，变化好像并没有那么惊人。
不过，车间还在运转，熟悉的声音依旧从窗外传来。
你喝完杯子里最后一口水，拿起文件，准备开始今天的工作。</t>
        </is>
      </c>
      <c r="J36" s="56" t="inlineStr">
        <is>
          <t>大多数日子平平常常，十年就是这样一点点过来的。</t>
        </is>
      </c>
      <c r="K36" s="56" t="str"/>
      <c r="L36" s="56" t="inlineStr">
        <is>
          <t>E05_照常开门.png</t>
        </is>
      </c>
      <c r="M36" s="56" t="inlineStr">
        <is>
          <t>是</t>
        </is>
      </c>
      <c r="N36" s="56" t="inlineStr">
        <is>
          <t>图片暂未制作；完成后放入 cg/images/，文件名与本行一致。</t>
        </is>
      </c>
    </row>
    <row r="37" ht="72" customHeight="1">
      <c r="A37" s="58" t="inlineStr">
        <is>
          <t>E06</t>
        </is>
      </c>
      <c r="B37" s="58" t="inlineStr">
        <is>
          <t>2040结局</t>
        </is>
      </c>
      <c r="C37" s="58" t="str"/>
      <c r="D37" s="58" t="str"/>
      <c r="E37" s="58" t="n">
        <v>0</v>
      </c>
      <c r="F37" s="56" t="inlineStr">
        <is>
          <t>明年再说</t>
        </is>
      </c>
      <c r="G37" s="56" t="inlineStr">
        <is>
          <t>经营表现平稳，绿色表现较弱。</t>
        </is>
      </c>
      <c r="H37" s="56" t="inlineStr">
        <is>
          <t>厂长办公室内，几份不同年份的改造方案堆在文件柜里。窗外的厂房依旧有些老旧，工厂仍然正常生产。</t>
        </is>
      </c>
      <c r="I37" s="56" t="inlineStr">
        <is>
          <t>整理文件时，你翻出了一份2031年的绿色改造计划。
那年因为资金安排紧张，几个项目被推迟到了下一年。
第二年，又出现了其他更急迫的经营事项。
后来几年，这份计划被修改过很多次。有些内容已经不再适用，也有些直到今天仍然没有完成。
工厂的经营倒是一直维持着，虽然没有特别亮眼的成绩，但也还算过得去。
你看着那份旧文件，忽然发现，自己曾经说过很多次“明年再说”。
如今，已经是2040年了。</t>
        </is>
      </c>
      <c r="J37" s="56" t="inlineStr">
        <is>
          <t>明年总会到来，只是机会未必一直等在那里。</t>
        </is>
      </c>
      <c r="K37" s="56" t="str"/>
      <c r="L37" s="56" t="inlineStr">
        <is>
          <t>E06_明年再说.png</t>
        </is>
      </c>
      <c r="M37" s="56" t="inlineStr">
        <is>
          <t>是</t>
        </is>
      </c>
      <c r="N37" s="56" t="inlineStr">
        <is>
          <t>图片暂未制作；完成后放入 cg/images/，文件名与本行一致。</t>
        </is>
      </c>
    </row>
    <row r="38" ht="72" customHeight="1">
      <c r="A38" s="58" t="inlineStr">
        <is>
          <t>E07</t>
        </is>
      </c>
      <c r="B38" s="58" t="inlineStr">
        <is>
          <t>2040结局</t>
        </is>
      </c>
      <c r="C38" s="58" t="str"/>
      <c r="D38" s="58" t="str"/>
      <c r="E38" s="58" t="n">
        <v>0</v>
      </c>
      <c r="F38" s="56" t="inlineStr">
        <is>
          <t>还没到放弃的时候</t>
        </is>
      </c>
      <c r="G38" s="56" t="inlineStr">
        <is>
          <t>工厂经营困难，但尚未达到严重资金危机条件；绿色表现未达到优秀。</t>
        </is>
      </c>
      <c r="H38" s="56" t="inlineStr">
        <is>
          <t>阴天的厂长办公室，桌上散放着报表和计划，厂长坐在办公桌前重新整理文件。窗外工厂仍在生产，但整体显得有些冷清。</t>
        </is>
      </c>
      <c r="I38" s="56" t="inlineStr">
        <is>
          <t>这十年的最后一份经营报表，仍然不太理想。
过去几年，你已经多次调整过经营计划。有些办法起了作用，有些却没能改变结果。
工厂也进行过一些改造，只是受到经营状况和资金的限制，许多计划始终没能推进下去。
你看着桌上的文件，突然有些怀念刚上任的时候。
那时你觉得，只要把计划安排得足够仔细，总能找到一条合适的路。
十年过去，你终于明白，有些问题不是靠一份漂亮的计划就能解决的。
不过，至少今天，工厂的大门仍然开着。</t>
        </is>
      </c>
      <c r="J38" s="56" t="inlineStr">
        <is>
          <t>没有走到想去的地方，但你还没有停下来。</t>
        </is>
      </c>
      <c r="K38" s="56" t="str"/>
      <c r="L38" s="56" t="inlineStr">
        <is>
          <t>E07_还没到放弃的时候.png</t>
        </is>
      </c>
      <c r="M38" s="56" t="inlineStr">
        <is>
          <t>是</t>
        </is>
      </c>
      <c r="N38" s="56" t="inlineStr">
        <is>
          <t>图片暂未制作；完成后放入 cg/images/，文件名与本行一致。</t>
        </is>
      </c>
    </row>
    <row r="39" ht="72" customHeight="1">
      <c r="A39" s="58" t="inlineStr">
        <is>
          <t>E08</t>
        </is>
      </c>
      <c r="B39" s="58" t="inlineStr">
        <is>
          <t>2040结局</t>
        </is>
      </c>
      <c r="C39" s="58" t="str"/>
      <c r="D39" s="58" t="str"/>
      <c r="E39" s="58" t="n">
        <v>0</v>
      </c>
      <c r="F39" s="56" t="inlineStr">
        <is>
          <t>最后一份通知</t>
        </is>
      </c>
      <c r="G39" s="56" t="inlineStr">
        <is>
          <t>严重资金危机，工厂已无法维持既定经营方式。优先于其他结局。</t>
        </is>
      </c>
      <c r="H39" s="56" t="inlineStr">
        <is>
          <t>冬日的厂长办公室。办公桌上放着一份经营调整通知和2030年的任命书，文件柜有些空了。厂长站在桌前整理物品，窗外是安静的工厂。</t>
        </is>
      </c>
      <c r="I39" s="56" t="inlineStr">
        <is>
          <t>集团的通知终于下来了。
长期的亏损和资金困难，让这座工厂已经无法继续按照原来的方式经营。经过讨论，集团决定对厂区业务和资产进行重新整合。
通知上只有短短几段话，但接下来需要处理的事情还有很多。
你开始整理办公室里的文件。
十年经营记录、尚未完成的改造计划，还有一张不知道什么时候夹进文件夹里的旧照片。
最后，你翻出了2030年的任命书。
那时你32岁，第一次来到这里。你还记得自己走进办公室时，曾经认真打量过窗外的每一栋厂房。
你把任命书折好，放进随身的文件夹。
离开之前，你又看了一眼窗外。</t>
        </is>
      </c>
      <c r="J39" s="56" t="inlineStr">
        <is>
          <t>十年没有按照预想的方式结束，但那些走过的日子都是真的。</t>
        </is>
      </c>
      <c r="K39" s="56" t="str"/>
      <c r="L39" s="56" t="inlineStr">
        <is>
          <t>E08_最后一份通知.png</t>
        </is>
      </c>
      <c r="M39" s="56" t="inlineStr">
        <is>
          <t>是</t>
        </is>
      </c>
      <c r="N39" s="56" t="inlineStr">
        <is>
          <t>图片暂未制作；完成后放入 cg/images/，文件名与本行一致。</t>
        </is>
      </c>
    </row>
    <row r="40" ht="72" customHeight="1">
      <c r="A40" s="59" t="inlineStr">
        <is>
          <t>E09</t>
        </is>
      </c>
      <c r="B40" s="59" t="inlineStr">
        <is>
          <t>2040结局</t>
        </is>
      </c>
      <c r="C40" s="59" t="str"/>
      <c r="D40" s="59" t="str"/>
      <c r="E40" s="59" t="n">
        <v>0</v>
      </c>
      <c r="F40" s="60" t="inlineStr">
        <is>
          <t>那份材料</t>
        </is>
      </c>
      <c r="G40" s="60" t="inlineStr">
        <is>
          <t>玩家在2030—2039年的经营过程中，至少选择并执行过一次伪造数据截图或贿赂评审专家的行为，且在本轮游戏中被查实（90%概率）。</t>
        </is>
      </c>
      <c r="H40" s="60" t="inlineStr">
        <is>
          <t>阴沉的午后，厂长独自坐在办公室里。桌上摊着一份调查处理通知，旁边是几年前的绿色工厂评价材料。窗外仍然能看见正在运转的工厂，房间里却格外安静。</t>
        </is>
      </c>
      <c r="I40" s="60" t="inlineStr">
        <is>
          <t>2040年，你收到了一份有关工厂绿色评价违规问题的调查处理通知。
几年前的那次选择，终究还是被查了出来。
当时，为了让评价顺利通过，你曾试图在材料或评审环节走一条捷径。那时候，你以为只要过了眼前这一关，事情就算结束了。
如今，调查人员重新核对了相关记录。问题被确认，原有评价结果受到影响，工厂也需要承担相应的整改和责任追究。
你翻出当年的申报文件。那些曾经让人紧张的指标、来回修改的表格，以及最后作出的那个决定，都还清清楚楚地留在里面。
窗外，工厂依旧照常运转。
只是有些东西，已经不能再像从前一样了。</t>
        </is>
      </c>
      <c r="J40" s="60" t="inlineStr">
        <is>
          <t>走捷径省下的那段路，后来都要重新走一遍。</t>
        </is>
      </c>
      <c r="K40" s="60" t="inlineStr">
        <is>
          <t>根据玩家具体选择，替换正文中的一句话：
- 伪造截图： “当年，为了让申报材料看起来符合要求，你提交了一份经过修改的数据截图。”
- 贿赂专家： “当年，为了让评价顺利通过，你试图通过不正当利益影响评审专家的判断。”
- 两种行为均有： “当年，那份经过修改的数据截图，以及评审期间的不正当安排，如今都成了需要重新核查的问题。”</t>
        </is>
      </c>
      <c r="L40" s="60" t="inlineStr">
        <is>
          <t>E09_那份材料.png</t>
        </is>
      </c>
      <c r="M40" s="60" t="inlineStr">
        <is>
          <t>是</t>
        </is>
      </c>
      <c r="N40" s="60" t="inlineStr">
        <is>
          <t>图片暂未制作；完成后放入 cg/images/，文件名与本行一致。</t>
        </is>
      </c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355C4A"/>
    <outlinePr summaryBelow="1" summaryRight="1"/>
    <pageSetUpPr/>
  </sheetPr>
  <dimension ref="A2:F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38" customWidth="1" min="5" max="5"/>
    <col width="42" customWidth="1" min="6" max="6"/>
  </cols>
  <sheetData>
    <row r="2">
      <c r="A2" s="1" t="inlineStr">
        <is>
          <t>结算说明</t>
        </is>
      </c>
    </row>
    <row r="3">
      <c r="A3" s="3" t="inlineStr">
        <is>
          <t>此页用于看清年值、月值和项目付款的区别；不直接作为游戏输入。</t>
        </is>
      </c>
    </row>
    <row r="4">
      <c r="A4" s="41" t="n"/>
      <c r="B4" s="41" t="n"/>
      <c r="C4" s="41" t="n"/>
      <c r="D4" s="41" t="n"/>
      <c r="E4" s="41" t="n"/>
      <c r="F4" s="41" t="n"/>
    </row>
    <row r="5">
      <c r="A5" s="12" t="inlineStr">
        <is>
          <t>检查项</t>
        </is>
      </c>
      <c r="B5" s="24" t="inlineStr">
        <is>
          <t>年值/总价</t>
        </is>
      </c>
      <c r="C5" s="24" t="inlineStr">
        <is>
          <t>换算公式</t>
        </is>
      </c>
      <c r="D5" s="24" t="inlineStr">
        <is>
          <t>月值</t>
        </is>
      </c>
      <c r="E5" s="24" t="inlineStr">
        <is>
          <t>结果说明</t>
        </is>
      </c>
      <c r="F5" s="13" t="inlineStr">
        <is>
          <t>口径</t>
        </is>
      </c>
    </row>
    <row r="6">
      <c r="A6" s="20" t="inlineStr">
        <is>
          <t>每招聘1名工程师人工成本</t>
        </is>
      </c>
      <c r="B6" s="63" t="n">
        <v>38</v>
      </c>
      <c r="C6" s="64" t="inlineStr">
        <is>
          <t>年值÷12</t>
        </is>
      </c>
      <c r="D6" s="64">
        <f>B6/12</f>
        <v/>
      </c>
      <c r="E6" s="20" t="inlineStr">
        <is>
          <t>3.17 万/月，不是 38 万/月</t>
        </is>
      </c>
      <c r="F6" s="20" t="inlineStr">
        <is>
          <t>原 HTML：每年增加38万人工成本</t>
        </is>
      </c>
    </row>
    <row r="7">
      <c r="A7" s="20" t="inlineStr">
        <is>
          <t>6个月项目</t>
        </is>
      </c>
      <c r="B7" s="63" t="n">
        <v>100</v>
      </c>
      <c r="C7" s="64" t="inlineStr">
        <is>
          <t>总价÷6个月</t>
        </is>
      </c>
      <c r="D7" s="64">
        <f>B7/6</f>
        <v/>
      </c>
      <c r="E7" s="20" t="inlineStr">
        <is>
          <t>示例值可改；仅演示分6期均摊</t>
        </is>
      </c>
      <c r="F7" s="20" t="inlineStr">
        <is>
          <t>项目卡直接填写6个月</t>
        </is>
      </c>
    </row>
    <row r="8">
      <c r="A8" s="20" t="inlineStr">
        <is>
          <t>12个月项目</t>
        </is>
      </c>
      <c r="B8" s="63" t="n">
        <v>850</v>
      </c>
      <c r="C8" s="64" t="inlineStr">
        <is>
          <t>总价÷12个月</t>
        </is>
      </c>
      <c r="D8" s="64">
        <f>B8/12</f>
        <v/>
      </c>
      <c r="E8" s="20" t="inlineStr">
        <is>
          <t>850万扩建产线初始每月约70.83万</t>
        </is>
      </c>
      <c r="F8" s="20" t="inlineStr">
        <is>
          <t>项目卡直接填写12个月</t>
        </is>
      </c>
    </row>
    <row r="9">
      <c r="A9" s="20" t="inlineStr">
        <is>
          <t>绿色信贷还本付息</t>
        </is>
      </c>
      <c r="B9" s="63" t="n">
        <v>62</v>
      </c>
      <c r="C9" s="64" t="inlineStr">
        <is>
          <t>年值÷12</t>
        </is>
      </c>
      <c r="D9" s="64">
        <f>B9/12</f>
        <v/>
      </c>
      <c r="E9" s="20" t="inlineStr">
        <is>
          <t>5.17 万/月</t>
        </is>
      </c>
      <c r="F9" s="20" t="inlineStr">
        <is>
          <t>8年每年还本付息62万</t>
        </is>
      </c>
    </row>
    <row r="10">
      <c r="A10" s="20" t="inlineStr">
        <is>
          <t>绿色信贷本金减少</t>
        </is>
      </c>
      <c r="B10" s="63" t="n">
        <v>400</v>
      </c>
      <c r="C10" s="64" t="inlineStr">
        <is>
          <t>本金÷(8年×12个月)</t>
        </is>
      </c>
      <c r="D10" s="64">
        <f>B10/(8*12)</f>
        <v/>
      </c>
      <c r="E10" s="20" t="inlineStr">
        <is>
          <t>4.17 万/月</t>
        </is>
      </c>
      <c r="F10" s="20" t="inlineStr">
        <is>
          <t>贷款余额展示本金；月度还本付息含本金与利息</t>
        </is>
      </c>
    </row>
    <row r="11">
      <c r="A11" s="41" t="n"/>
      <c r="B11" s="41" t="n"/>
      <c r="C11" s="41" t="n"/>
      <c r="D11" s="41" t="n"/>
      <c r="E11" s="41" t="n"/>
      <c r="F11" s="41" t="n"/>
    </row>
    <row r="12">
      <c r="A12" s="12" t="inlineStr">
        <is>
          <t>月度经营现金流字段</t>
        </is>
      </c>
      <c r="B12" s="24" t="inlineStr">
        <is>
          <t>年度计算基础</t>
        </is>
      </c>
      <c r="C12" s="24" t="inlineStr">
        <is>
          <t>月度处理</t>
        </is>
      </c>
      <c r="D12" s="24" t="inlineStr">
        <is>
          <t>是否包含项目施工款</t>
        </is>
      </c>
      <c r="E12" s="24" t="str"/>
      <c r="F12" s="13" t="str"/>
    </row>
    <row r="13">
      <c r="A13" s="20" t="inlineStr">
        <is>
          <t>经营收入</t>
        </is>
      </c>
      <c r="B13" s="20" t="inlineStr">
        <is>
          <t>销量×渠道价格</t>
        </is>
      </c>
      <c r="C13" s="20" t="inlineStr">
        <is>
          <t>÷12</t>
        </is>
      </c>
      <c r="D13" s="20" t="inlineStr">
        <is>
          <t>否</t>
        </is>
      </c>
      <c r="E13" s="20" t="str"/>
      <c r="F13" s="20" t="str"/>
    </row>
    <row r="14">
      <c r="A14" s="20" t="inlineStr">
        <is>
          <t>材料成本</t>
        </is>
      </c>
      <c r="B14" s="20" t="inlineStr">
        <is>
          <t>销量×单位材料成本</t>
        </is>
      </c>
      <c r="C14" s="20" t="inlineStr">
        <is>
          <t>÷12</t>
        </is>
      </c>
      <c r="D14" s="20" t="inlineStr">
        <is>
          <t>否</t>
        </is>
      </c>
      <c r="E14" s="20" t="str"/>
      <c r="F14" s="20" t="str"/>
    </row>
    <row r="15">
      <c r="A15" s="20" t="inlineStr">
        <is>
          <t>能源成本</t>
        </is>
      </c>
      <c r="B15" s="20" t="inlineStr">
        <is>
          <t>用电、用气、绿电、绿证等</t>
        </is>
      </c>
      <c r="C15" s="20" t="inlineStr">
        <is>
          <t>÷12</t>
        </is>
      </c>
      <c r="D15" s="20" t="inlineStr">
        <is>
          <t>否</t>
        </is>
      </c>
      <c r="E15" s="20" t="str"/>
      <c r="F15" s="20" t="str"/>
    </row>
    <row r="16">
      <c r="A16" s="20" t="inlineStr">
        <is>
          <t>人工成本</t>
        </is>
      </c>
      <c r="B16" s="20" t="inlineStr">
        <is>
          <t>固定人工+变动人工+招聘人工</t>
        </is>
      </c>
      <c r="C16" s="20" t="inlineStr">
        <is>
          <t>÷12</t>
        </is>
      </c>
      <c r="D16" s="20" t="inlineStr">
        <is>
          <t>否</t>
        </is>
      </c>
      <c r="E16" s="20" t="str"/>
      <c r="F16" s="20" t="str"/>
    </row>
    <row r="17">
      <c r="A17" s="20" t="inlineStr">
        <is>
          <t>维护成本</t>
        </is>
      </c>
      <c r="B17" s="20" t="inlineStr">
        <is>
          <t>基础维护费</t>
        </is>
      </c>
      <c r="C17" s="20" t="inlineStr">
        <is>
          <t>÷12</t>
        </is>
      </c>
      <c r="D17" s="20" t="inlineStr">
        <is>
          <t>否</t>
        </is>
      </c>
      <c r="E17" s="20" t="str"/>
      <c r="F17" s="20" t="str"/>
    </row>
    <row r="18">
      <c r="A18" s="20" t="inlineStr">
        <is>
          <t>固定费用</t>
        </is>
      </c>
      <c r="B18" s="20" t="inlineStr">
        <is>
          <t>固定经营费+出口附加费+ISO维持费</t>
        </is>
      </c>
      <c r="C18" s="20" t="inlineStr">
        <is>
          <t>÷12</t>
        </is>
      </c>
      <c r="D18" s="20" t="inlineStr">
        <is>
          <t>否</t>
        </is>
      </c>
      <c r="E18" s="20" t="str"/>
      <c r="F18" s="20" t="str"/>
    </row>
    <row r="19">
      <c r="A19" s="20" t="inlineStr">
        <is>
          <t>融资费用</t>
        </is>
      </c>
      <c r="B19" s="20" t="inlineStr">
        <is>
          <t>负现金利息+绿色信贷还本付息</t>
        </is>
      </c>
      <c r="C19" s="20" t="inlineStr">
        <is>
          <t>÷12</t>
        </is>
      </c>
      <c r="D19" s="20" t="inlineStr">
        <is>
          <t>否</t>
        </is>
      </c>
      <c r="E19" s="20" t="str"/>
      <c r="F19" s="20" t="str"/>
    </row>
    <row r="20">
      <c r="A20" s="20" t="inlineStr">
        <is>
          <t>所得税</t>
        </is>
      </c>
      <c r="B20" s="20" t="inlineStr">
        <is>
          <t>正的税前利润×税率</t>
        </is>
      </c>
      <c r="C20" s="20" t="inlineStr">
        <is>
          <t>÷12</t>
        </is>
      </c>
      <c r="D20" s="20" t="inlineStr">
        <is>
          <t>否</t>
        </is>
      </c>
      <c r="E20" s="20" t="str"/>
      <c r="F20" s="20" t="str"/>
    </row>
    <row r="21">
      <c r="A21" s="20" t="inlineStr">
        <is>
          <t>上缴集团</t>
        </is>
      </c>
      <c r="B21" s="20" t="inlineStr">
        <is>
          <t>正的净利润×上缴比例</t>
        </is>
      </c>
      <c r="C21" s="20" t="inlineStr">
        <is>
          <t>÷12</t>
        </is>
      </c>
      <c r="D21" s="20" t="inlineStr">
        <is>
          <t>否</t>
        </is>
      </c>
      <c r="E21" s="20" t="str"/>
      <c r="F21" s="20" t="str"/>
    </row>
    <row r="22">
      <c r="A22" s="20" t="inlineStr">
        <is>
          <t>项目施工支出</t>
        </is>
      </c>
      <c r="B22" s="20" t="inlineStr">
        <is>
          <t>项目总成本</t>
        </is>
      </c>
      <c r="C22" s="20" t="inlineStr">
        <is>
          <t>÷实际施工月数</t>
        </is>
      </c>
      <c r="D22" s="20" t="inlineStr">
        <is>
          <t>是；单列扣现金</t>
        </is>
      </c>
      <c r="E22" s="20" t="str"/>
      <c r="F22" s="20" t="str"/>
    </row>
  </sheetData>
  <mergeCells count="2">
    <mergeCell ref="A3:F3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2026-10-23T09:27:01Z</dcterms:created>
  <dcterms:modified xmlns:dcterms="http://purl.org/dc/terms/" xmlns:xsi="http://www.w3.org/2001/XMLSchema-instance" xsi:type="dcterms:W3CDTF">2026-10-23T09:57:03Z</dcterms:modified>
</cp:coreProperties>
</file>